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hyunko_microsoft_com/Documents/★WORK/04. copilot/02. Training/AI Week/"/>
    </mc:Choice>
  </mc:AlternateContent>
  <xr:revisionPtr revIDLastSave="15" documentId="8_{BC194F23-C03B-4419-92E5-60CD96C2C2EF}" xr6:coauthVersionLast="47" xr6:coauthVersionMax="47" xr10:uidLastSave="{AC5C5655-5AED-4123-A9AA-CCCA40758726}"/>
  <bookViews>
    <workbookView xWindow="41025" yWindow="780" windowWidth="26865" windowHeight="18645" xr2:uid="{00000000-000D-0000-FFFF-FFFF00000000}"/>
  </bookViews>
  <sheets>
    <sheet name="가게수" sheetId="1" r:id="rId1"/>
    <sheet name="인구수" sheetId="2" r:id="rId2"/>
    <sheet name="가게 생존율" sheetId="3" r:id="rId3"/>
    <sheet name="개업가게수" sheetId="5" r:id="rId4"/>
    <sheet name="폐업가게수" sheetId="6" r:id="rId5"/>
    <sheet name="연령대별 소비 스타일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E2" i="1" s="1"/>
</calcChain>
</file>

<file path=xl/sharedStrings.xml><?xml version="1.0" encoding="utf-8"?>
<sst xmlns="http://schemas.openxmlformats.org/spreadsheetml/2006/main" count="174" uniqueCount="66">
  <si>
    <t>지역</t>
  </si>
  <si>
    <t>프랜차이즈 가게수</t>
  </si>
  <si>
    <t>일반 가게수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</si>
  <si>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</si>
  <si>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</si>
  <si>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</si>
  <si>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</si>
  <si>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</si>
  <si>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</si>
  <si>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</si>
  <si>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</si>
  <si>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</si>
  <si>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</si>
  <si>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</si>
  <si>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</si>
  <si>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</si>
  <si>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</si>
  <si>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</si>
  <si>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</si>
  <si>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</si>
  <si>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</si>
  <si>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</si>
  <si>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</si>
  <si>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</si>
  <si>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</si>
  <si>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</si>
  <si>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</si>
  <si>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</si>
  <si>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유동인구</t>
  </si>
  <si>
    <t>주거인구</t>
  </si>
  <si>
    <t>직장인구</t>
  </si>
  <si>
    <t>전체 1년 생존율</t>
  </si>
  <si>
    <t>전체 3년 생존율</t>
  </si>
  <si>
    <t>전체 5년 생존율</t>
  </si>
  <si>
    <t>신생기업 1년 생존율</t>
  </si>
  <si>
    <t>신생기업 3년 생존율</t>
  </si>
  <si>
    <t>신생기업 5년 생존율</t>
  </si>
  <si>
    <t xml:space="preserve">2022년 </t>
  </si>
  <si>
    <t xml:space="preserve">2023년 </t>
  </si>
  <si>
    <t xml:space="preserve">2024년 </t>
  </si>
  <si>
    <t>소비 스타일</t>
  </si>
  <si>
    <t>20대</t>
  </si>
  <si>
    <t>30대</t>
  </si>
  <si>
    <t>40대</t>
  </si>
  <si>
    <t>50대</t>
  </si>
  <si>
    <t>60대</t>
  </si>
  <si>
    <t>Total</t>
  </si>
  <si>
    <t>플렉스와 짠테크 소비 구분</t>
  </si>
  <si>
    <t>외식장소 찾을 때 무조건 SNS 검색</t>
  </si>
  <si>
    <t>음식점에서 대면보다 키오스크 등 비대면 선호</t>
  </si>
  <si>
    <t>재래시장의 핫한 메뉴 찾아 다니며 즐김</t>
  </si>
  <si>
    <t>음식점/카페는 맛 보다 독특한 경험이 중요</t>
  </si>
  <si>
    <t>채식, 대체육 등 외식 시 친환경 고려 및 실천</t>
  </si>
  <si>
    <t>콜라보레이션 상품에 관심이 높음</t>
  </si>
  <si>
    <t>외식 시 반드시 사진 촬영해 SNS 업로드</t>
  </si>
  <si>
    <t>취향에 맞는 2~3가지 주류·음료 직접 혼합해서 즐김</t>
  </si>
  <si>
    <t>파인다이닝도 가치가 있다면 타 지출 줄여서 방문</t>
  </si>
  <si>
    <t>식품, 음식, 주류 등의 정기 구독 서비스 이용</t>
  </si>
  <si>
    <t>SNS 핫플은 무조건 방문</t>
  </si>
  <si>
    <t>가고 싶은 음식점/카페는 오픈런이라도 방문</t>
  </si>
  <si>
    <t>전통주는 힙하다는 생각에 자주 즐김</t>
  </si>
  <si>
    <t>셀럽이 만들거나 이용하는 상품/음식에 관심 높음</t>
  </si>
  <si>
    <t>스탠딩 매장을 즐김</t>
  </si>
  <si>
    <t>도맥(도너츠+맥주) 즐김</t>
  </si>
  <si>
    <t>모두 해당사항 없음</t>
  </si>
  <si>
    <t>유동인구비율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</si>
</sst>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2">
    <xf numFmtId="0" fontId="0" fillId="0" borderId="0" xfId="0"/>
    <xf numFmtId="176" fontId="0" fillId="0" borderId="0" xfId="0" applyNumberFormat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2" fillId="3" borderId="3" xfId="0" applyFont="1" applyFill="1" applyBorder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2" fontId="0" fillId="0" borderId="0" xfId="0" applyNumberFormat="1"/>
  </cellXfs>
  <cellStyles count="1">
    <cellStyle name="표준" xfId="0" builtinId="0"/>
  </cellStyles>
  <dxfs count="9">
    <dxf>
      <font>
        <color rgb="FF000000"/>
      </font>
      <fill>
        <patternFill patternType="solid">
          <fgColor indexed="64"/>
          <bgColor rgb="FFFFC7CE"/>
        </patternFill>
      </fill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  <dxf>
      <numFmt numFmtId="176" formatCode="0.0%"/>
    </dxf>
    <dxf>
      <numFmt numFmtId="2" formatCode="0.00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A7D57A-1C90-4A59-B172-FF5CB21ACD9F}" name="표2" displayName="표2" ref="A1:E26" totalsRowShown="0">
  <autoFilter ref="A1:E26" xr:uid="{06A7D57A-1C90-4A59-B172-FF5CB21ACD9F}"/>
  <tableColumns count="5">
    <tableColumn id="1" xr3:uid="{A3807CD3-72C7-424E-925C-F5EEA24B2BD1}" name="지역"/>
    <tableColumn id="2" xr3:uid="{151BA8E5-8587-4880-A206-143EBF857D11}" name="프랜차이즈 가게수"/>
    <tableColumn id="3" xr3:uid="{3F784BAB-556A-4B12-A984-F9FB6A7651A8}" name="일반 가게수"/>
    <tableColumn id="4" xr3:uid="{D510307A-78E4-4A95-8EA3-69080071B845}" name="유동인구" dataDxfId="8">
      <calculatedColumnFormula>_xlfn.XLOOKUP(표2[[#This Row],[지역]],표3[지역],표3[유동인구])</calculatedColumnFormula>
    </tableColumn>
    <tableColumn id="5" xr3:uid="{6CA33FA3-C5CD-4B8F-8BEC-8E6B97D34F1B}" name="유동인구비율" dataDxfId="7">
      <calculatedColumnFormula>표2[[#This Row],[유동인구]]/(표2[[#This Row],[프랜차이즈 가게수]]+표2[[#This Row],[일반 가게수]])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2D22FF-392A-47C3-8FB5-E4DAACEF5DDE}" name="표3" displayName="표3" ref="A1:D26" totalsRowShown="0">
  <autoFilter ref="A1:D26" xr:uid="{DF2D22FF-392A-47C3-8FB5-E4DAACEF5DDE}"/>
  <tableColumns count="4">
    <tableColumn id="1" xr3:uid="{B67CD335-03FD-420F-B8F7-6E06A23EB9B1}" name="지역"/>
    <tableColumn id="2" xr3:uid="{1EFA4ED6-DE49-4E09-B48A-B6497CEC5576}" name="유동인구"/>
    <tableColumn id="3" xr3:uid="{D545C959-93AE-4CBA-B9A4-BE7F0F39E932}" name="주거인구"/>
    <tableColumn id="4" xr3:uid="{C6D5A9C0-859A-4F13-8C24-501A2D0A5C4B}" name="직장인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F38072-E2CB-43FC-A13E-59807E8C83A8}" name="표5" displayName="표5" ref="A1:G26" totalsRowShown="0">
  <autoFilter ref="A1:G26" xr:uid="{B4F38072-E2CB-43FC-A13E-59807E8C83A8}"/>
  <tableColumns count="7">
    <tableColumn id="1" xr3:uid="{6434E03F-F1A0-4A8C-A0C3-B7A108571122}" name="지역"/>
    <tableColumn id="2" xr3:uid="{526293A7-81AA-4D7A-9E91-23B70B96C835}" name="전체 1년 생존율" dataDxfId="6"/>
    <tableColumn id="3" xr3:uid="{9418D927-9483-44DD-A569-1E2F01DC39BE}" name="전체 3년 생존율" dataDxfId="5"/>
    <tableColumn id="4" xr3:uid="{6425B6A0-FE32-43E6-981A-826EC6D9382B}" name="전체 5년 생존율" dataDxfId="4"/>
    <tableColumn id="5" xr3:uid="{093CEAF9-86A1-4450-9760-AC9DDEA8293E}" name="신생기업 1년 생존율" dataDxfId="3"/>
    <tableColumn id="6" xr3:uid="{57A31282-3432-4BE3-81F6-3402BAB08BAE}" name="신생기업 3년 생존율" dataDxfId="2"/>
    <tableColumn id="7" xr3:uid="{CE93E500-7671-43D8-87AE-07DEA68547F8}" name="신생기업 5년 생존율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7DADA-4379-499F-8EB4-301B5C3C1825}" name="표1" displayName="표1" ref="A1:D26" totalsRowShown="0">
  <autoFilter ref="A1:D26" xr:uid="{D697DADA-4379-499F-8EB4-301B5C3C1825}"/>
  <tableColumns count="4">
    <tableColumn id="1" xr3:uid="{E0A0EC44-B5C9-4A9F-A7DB-8D246AC84D35}" name="지역"/>
    <tableColumn id="2" xr3:uid="{FD31B778-BC38-450C-B80F-1438F03D3F79}" name="2022년 "/>
    <tableColumn id="3" xr3:uid="{E58E3642-5632-4C66-A0E5-6BAC56A6CB02}" name="2023년 "/>
    <tableColumn id="4" xr3:uid="{8761D204-D548-460D-BA19-C9397A25C374}" name="2024년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315238-07AA-4F2D-BFB8-B1C9C52E85E8}" name="표_6" displayName="표_6" ref="A1:D26" totalsRowShown="0">
  <autoFilter ref="A1:D26" xr:uid="{65315238-07AA-4F2D-BFB8-B1C9C52E85E8}"/>
  <tableColumns count="4">
    <tableColumn id="1" xr3:uid="{DAFD19F6-68B7-4601-BD6C-4B51D266D39A}" name="지역"/>
    <tableColumn id="2" xr3:uid="{258A9460-C3C6-4ED2-892E-440E86FB9B4B}" name="2022년 "/>
    <tableColumn id="3" xr3:uid="{3D4707E1-4E13-408D-8761-AB78F1A211A4}" name="2023년 "/>
    <tableColumn id="4" xr3:uid="{5DA03793-8BBF-4ADB-9844-A6CA2A69536F}" name="2024년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008A9F-630F-4854-AD6C-7CB65A9F90EF}">
  <we:reference id="wa200006575" version="1.0.0.3" store="ko-KR" storeType="OMEX"/>
  <we:alternateReferences>
    <we:reference id="wa200006575" version="1.0.0.3" store="wa20000657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Q11" sqref="Q11"/>
    </sheetView>
  </sheetViews>
  <sheetFormatPr defaultRowHeight="17" x14ac:dyDescent="0.45"/>
  <cols>
    <col min="2" max="2" width="19" bestFit="1" customWidth="1"/>
    <col min="3" max="3" width="13.25" bestFit="1" customWidth="1"/>
    <col min="4" max="4" width="10.75" bestFit="1" customWidth="1"/>
    <col min="5" max="5" width="14.5820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28</v>
      </c>
      <c r="E1" t="s">
        <v>65</v>
      </c>
    </row>
    <row r="2" spans="1:5" x14ac:dyDescent="0.45">
      <c r="A2" t="s">
        <v>3</v>
      </c>
      <c r="B2">
        <v>916</v>
      </c>
      <c r="C2">
        <v>6099</v>
      </c>
      <c r="D2">
        <f>_xlfn.XLOOKUP(표2[[#This Row],[지역]],표3[지역],표3[유동인구])</f>
        <v>28462</v>
      </c>
      <c r="E2" s="11">
        <f>표2[[#This Row],[유동인구]]/(표2[[#This Row],[프랜차이즈 가게수]]+표2[[#This Row],[일반 가게수]])</f>
        <v>4.0573057733428364</v>
      </c>
    </row>
    <row r="3" spans="1:5" x14ac:dyDescent="0.45">
      <c r="A3" t="s">
        <v>4</v>
      </c>
      <c r="B3">
        <v>1070</v>
      </c>
      <c r="C3">
        <v>5686</v>
      </c>
      <c r="D3">
        <f>_xlfn.XLOOKUP(표2[[#This Row],[지역]],표3[지역],표3[유동인구])</f>
        <v>59302</v>
      </c>
      <c r="E3" s="11">
        <f>표2[[#This Row],[유동인구]]/(표2[[#This Row],[프랜차이즈 가게수]]+표2[[#This Row],[일반 가게수]])</f>
        <v>8.7776791000592063</v>
      </c>
    </row>
    <row r="4" spans="1:5" x14ac:dyDescent="0.45">
      <c r="A4" t="s">
        <v>5</v>
      </c>
      <c r="B4">
        <v>665</v>
      </c>
      <c r="C4">
        <v>4805</v>
      </c>
      <c r="D4">
        <f>_xlfn.XLOOKUP(표2[[#This Row],[지역]],표3[지역],표3[유동인구])</f>
        <v>27276</v>
      </c>
      <c r="E4" s="11">
        <f>표2[[#This Row],[유동인구]]/(표2[[#This Row],[프랜차이즈 가게수]]+표2[[#This Row],[일반 가게수]])</f>
        <v>4.9864716636197439</v>
      </c>
    </row>
    <row r="5" spans="1:5" x14ac:dyDescent="0.45">
      <c r="A5" t="s">
        <v>6</v>
      </c>
      <c r="B5">
        <v>649</v>
      </c>
      <c r="C5">
        <v>4140</v>
      </c>
      <c r="D5">
        <f>_xlfn.XLOOKUP(표2[[#This Row],[지역]],표3[지역],표3[유동인구])</f>
        <v>43880</v>
      </c>
      <c r="E5" s="11">
        <f>표2[[#This Row],[유동인구]]/(표2[[#This Row],[프랜차이즈 가게수]]+표2[[#This Row],[일반 가게수]])</f>
        <v>9.1626644393401548</v>
      </c>
    </row>
    <row r="6" spans="1:5" x14ac:dyDescent="0.45">
      <c r="A6" t="s">
        <v>7</v>
      </c>
      <c r="B6">
        <v>831</v>
      </c>
      <c r="C6">
        <v>4512</v>
      </c>
      <c r="D6">
        <f>_xlfn.XLOOKUP(표2[[#This Row],[지역]],표3[지역],표3[유동인구])</f>
        <v>54032</v>
      </c>
      <c r="E6" s="11">
        <f>표2[[#This Row],[유동인구]]/(표2[[#This Row],[프랜차이즈 가게수]]+표2[[#This Row],[일반 가게수]])</f>
        <v>10.112670784203631</v>
      </c>
    </row>
    <row r="7" spans="1:5" x14ac:dyDescent="0.45">
      <c r="A7" t="s">
        <v>8</v>
      </c>
      <c r="B7">
        <v>762</v>
      </c>
      <c r="C7">
        <v>4280</v>
      </c>
      <c r="D7">
        <f>_xlfn.XLOOKUP(표2[[#This Row],[지역]],표3[지역],표3[유동인구])</f>
        <v>74606</v>
      </c>
      <c r="E7" s="11">
        <f>표2[[#This Row],[유동인구]]/(표2[[#This Row],[프랜차이즈 가게수]]+표2[[#This Row],[일반 가게수]])</f>
        <v>14.796905989686632</v>
      </c>
    </row>
    <row r="8" spans="1:5" x14ac:dyDescent="0.45">
      <c r="A8" t="s">
        <v>9</v>
      </c>
      <c r="B8">
        <v>658</v>
      </c>
      <c r="C8">
        <v>3734</v>
      </c>
      <c r="D8">
        <f>_xlfn.XLOOKUP(표2[[#This Row],[지역]],표3[지역],표3[유동인구])</f>
        <v>50572</v>
      </c>
      <c r="E8" s="11">
        <f>표2[[#This Row],[유동인구]]/(표2[[#This Row],[프랜차이즈 가게수]]+표2[[#This Row],[일반 가게수]])</f>
        <v>11.514571948998178</v>
      </c>
    </row>
    <row r="9" spans="1:5" x14ac:dyDescent="0.45">
      <c r="A9" t="s">
        <v>10</v>
      </c>
      <c r="B9">
        <v>790</v>
      </c>
      <c r="C9">
        <v>4052</v>
      </c>
      <c r="D9">
        <f>_xlfn.XLOOKUP(표2[[#This Row],[지역]],표3[지역],표3[유동인구])</f>
        <v>48664</v>
      </c>
      <c r="E9" s="11">
        <f>표2[[#This Row],[유동인구]]/(표2[[#This Row],[프랜차이즈 가게수]]+표2[[#This Row],[일반 가게수]])</f>
        <v>10.050392399834779</v>
      </c>
    </row>
    <row r="10" spans="1:5" x14ac:dyDescent="0.45">
      <c r="A10" t="s">
        <v>11</v>
      </c>
      <c r="B10">
        <v>544</v>
      </c>
      <c r="C10">
        <v>3295</v>
      </c>
      <c r="D10">
        <f>_xlfn.XLOOKUP(표2[[#This Row],[지역]],표3[지역],표3[유동인구])</f>
        <v>39620</v>
      </c>
      <c r="E10" s="11">
        <f>표2[[#This Row],[유동인구]]/(표2[[#This Row],[프랜차이즈 가게수]]+표2[[#This Row],[일반 가게수]])</f>
        <v>10.320395936441782</v>
      </c>
    </row>
    <row r="11" spans="1:5" x14ac:dyDescent="0.45">
      <c r="A11" t="s">
        <v>12</v>
      </c>
      <c r="B11">
        <v>494</v>
      </c>
      <c r="C11">
        <v>2504</v>
      </c>
      <c r="D11">
        <f>_xlfn.XLOOKUP(표2[[#This Row],[지역]],표3[지역],표3[유동인구])</f>
        <v>29733</v>
      </c>
      <c r="E11" s="11">
        <f>표2[[#This Row],[유동인구]]/(표2[[#This Row],[프랜차이즈 가게수]]+표2[[#This Row],[일반 가게수]])</f>
        <v>9.9176117411607745</v>
      </c>
    </row>
    <row r="12" spans="1:5" x14ac:dyDescent="0.45">
      <c r="A12" t="s">
        <v>13</v>
      </c>
      <c r="B12">
        <v>943</v>
      </c>
      <c r="C12">
        <v>3643</v>
      </c>
      <c r="D12">
        <f>_xlfn.XLOOKUP(표2[[#This Row],[지역]],표3[지역],표3[유동인구])</f>
        <v>26495</v>
      </c>
      <c r="E12" s="11">
        <f>표2[[#This Row],[유동인구]]/(표2[[#This Row],[프랜차이즈 가게수]]+표2[[#This Row],[일반 가게수]])</f>
        <v>5.7773658962058443</v>
      </c>
    </row>
    <row r="13" spans="1:5" x14ac:dyDescent="0.45">
      <c r="A13" t="s">
        <v>14</v>
      </c>
      <c r="B13">
        <v>748</v>
      </c>
      <c r="C13">
        <v>4031</v>
      </c>
      <c r="D13">
        <f>_xlfn.XLOOKUP(표2[[#This Row],[지역]],표3[지역],표3[유동인구])</f>
        <v>32771</v>
      </c>
      <c r="E13" s="11">
        <f>표2[[#This Row],[유동인구]]/(표2[[#This Row],[프랜차이즈 가게수]]+표2[[#This Row],[일반 가게수]])</f>
        <v>6.8572923205691572</v>
      </c>
    </row>
    <row r="14" spans="1:5" x14ac:dyDescent="0.45">
      <c r="A14" t="s">
        <v>15</v>
      </c>
      <c r="B14">
        <v>750</v>
      </c>
      <c r="C14">
        <v>3786</v>
      </c>
      <c r="D14">
        <f>_xlfn.XLOOKUP(표2[[#This Row],[지역]],표3[지역],표3[유동인구])</f>
        <v>53527</v>
      </c>
      <c r="E14" s="11">
        <f>표2[[#This Row],[유동인구]]/(표2[[#This Row],[프랜차이즈 가게수]]+표2[[#This Row],[일반 가게수]])</f>
        <v>11.800485008818342</v>
      </c>
    </row>
    <row r="15" spans="1:5" x14ac:dyDescent="0.45">
      <c r="A15" t="s">
        <v>16</v>
      </c>
      <c r="B15">
        <v>1210</v>
      </c>
      <c r="C15">
        <v>8810</v>
      </c>
      <c r="D15">
        <f>_xlfn.XLOOKUP(표2[[#This Row],[지역]],표3[지역],표3[유동인구])</f>
        <v>48258</v>
      </c>
      <c r="E15" s="11">
        <f>표2[[#This Row],[유동인구]]/(표2[[#This Row],[프랜차이즈 가게수]]+표2[[#This Row],[일반 가게수]])</f>
        <v>4.816167664670659</v>
      </c>
    </row>
    <row r="16" spans="1:5" x14ac:dyDescent="0.45">
      <c r="A16" t="s">
        <v>17</v>
      </c>
      <c r="B16">
        <v>754</v>
      </c>
      <c r="C16">
        <v>3270</v>
      </c>
      <c r="D16">
        <f>_xlfn.XLOOKUP(표2[[#This Row],[지역]],표3[지역],표3[유동인구])</f>
        <v>44174</v>
      </c>
      <c r="E16" s="11">
        <f>표2[[#This Row],[유동인구]]/(표2[[#This Row],[프랜차이즈 가게수]]+표2[[#This Row],[일반 가게수]])</f>
        <v>10.977634194831014</v>
      </c>
    </row>
    <row r="17" spans="1:5" x14ac:dyDescent="0.45">
      <c r="A17" t="s">
        <v>18</v>
      </c>
      <c r="B17">
        <v>1355</v>
      </c>
      <c r="C17">
        <v>5929</v>
      </c>
      <c r="D17">
        <f>_xlfn.XLOOKUP(표2[[#This Row],[지역]],표3[지역],표3[유동인구])</f>
        <v>27141</v>
      </c>
      <c r="E17" s="11">
        <f>표2[[#This Row],[유동인구]]/(표2[[#This Row],[프랜차이즈 가게수]]+표2[[#This Row],[일반 가게수]])</f>
        <v>3.7261120263591434</v>
      </c>
    </row>
    <row r="18" spans="1:5" x14ac:dyDescent="0.45">
      <c r="A18" t="s">
        <v>19</v>
      </c>
      <c r="B18">
        <v>947</v>
      </c>
      <c r="C18">
        <v>4021</v>
      </c>
      <c r="D18">
        <f>_xlfn.XLOOKUP(표2[[#This Row],[지역]],표3[지역],표3[유동인구])</f>
        <v>39050</v>
      </c>
      <c r="E18" s="11">
        <f>표2[[#This Row],[유동인구]]/(표2[[#This Row],[프랜차이즈 가게수]]+표2[[#This Row],[일반 가게수]])</f>
        <v>7.8603059581320451</v>
      </c>
    </row>
    <row r="19" spans="1:5" x14ac:dyDescent="0.45">
      <c r="A19" t="s">
        <v>20</v>
      </c>
      <c r="B19">
        <v>716</v>
      </c>
      <c r="C19">
        <v>3087</v>
      </c>
      <c r="D19">
        <f>_xlfn.XLOOKUP(표2[[#This Row],[지역]],표3[지역],표3[유동인구])</f>
        <v>27184</v>
      </c>
      <c r="E19" s="11">
        <f>표2[[#This Row],[유동인구]]/(표2[[#This Row],[프랜차이즈 가게수]]+표2[[#This Row],[일반 가게수]])</f>
        <v>7.1480410202471729</v>
      </c>
    </row>
    <row r="20" spans="1:5" x14ac:dyDescent="0.45">
      <c r="A20" t="s">
        <v>21</v>
      </c>
      <c r="B20">
        <v>1259</v>
      </c>
      <c r="C20">
        <v>6759</v>
      </c>
      <c r="D20">
        <f>_xlfn.XLOOKUP(표2[[#This Row],[지역]],표3[지역],표3[유동인구])</f>
        <v>43882</v>
      </c>
      <c r="E20" s="11">
        <f>표2[[#This Row],[유동인구]]/(표2[[#This Row],[프랜차이즈 가게수]]+표2[[#This Row],[일반 가게수]])</f>
        <v>5.4729358942379642</v>
      </c>
    </row>
    <row r="21" spans="1:5" x14ac:dyDescent="0.45">
      <c r="A21" t="s">
        <v>22</v>
      </c>
      <c r="B21">
        <v>751</v>
      </c>
      <c r="C21">
        <v>3533</v>
      </c>
      <c r="D21">
        <f>_xlfn.XLOOKUP(표2[[#This Row],[지역]],표3[지역],표3[유동인구])</f>
        <v>50048</v>
      </c>
      <c r="E21" s="11">
        <f>표2[[#This Row],[유동인구]]/(표2[[#This Row],[프랜차이즈 가게수]]+표2[[#This Row],[일반 가게수]])</f>
        <v>11.682539682539682</v>
      </c>
    </row>
    <row r="22" spans="1:5" x14ac:dyDescent="0.45">
      <c r="A22" t="s">
        <v>23</v>
      </c>
      <c r="B22">
        <v>870</v>
      </c>
      <c r="C22">
        <v>4997</v>
      </c>
      <c r="D22">
        <f>_xlfn.XLOOKUP(표2[[#This Row],[지역]],표3[지역],표3[유동인구])</f>
        <v>42788</v>
      </c>
      <c r="E22" s="11">
        <f>표2[[#This Row],[유동인구]]/(표2[[#This Row],[프랜차이즈 가게수]]+표2[[#This Row],[일반 가게수]])</f>
        <v>7.2929947162093063</v>
      </c>
    </row>
    <row r="23" spans="1:5" x14ac:dyDescent="0.45">
      <c r="A23" t="s">
        <v>24</v>
      </c>
      <c r="B23">
        <v>1176</v>
      </c>
      <c r="C23">
        <v>6244</v>
      </c>
      <c r="D23">
        <f>_xlfn.XLOOKUP(표2[[#This Row],[지역]],표3[지역],표3[유동인구])</f>
        <v>20651</v>
      </c>
      <c r="E23" s="11">
        <f>표2[[#This Row],[유동인구]]/(표2[[#This Row],[프랜차이즈 가게수]]+표2[[#This Row],[일반 가게수]])</f>
        <v>2.7831536388140163</v>
      </c>
    </row>
    <row r="24" spans="1:5" x14ac:dyDescent="0.45">
      <c r="A24" t="s">
        <v>25</v>
      </c>
      <c r="B24">
        <v>2190</v>
      </c>
      <c r="C24">
        <v>11777</v>
      </c>
      <c r="D24">
        <f>_xlfn.XLOOKUP(표2[[#This Row],[지역]],표3[지역],표3[유동인구])</f>
        <v>36428</v>
      </c>
      <c r="E24" s="11">
        <f>표2[[#This Row],[유동인구]]/(표2[[#This Row],[프랜차이즈 가게수]]+표2[[#This Row],[일반 가게수]])</f>
        <v>2.6081477769026993</v>
      </c>
    </row>
    <row r="25" spans="1:5" x14ac:dyDescent="0.45">
      <c r="A25" t="s">
        <v>26</v>
      </c>
      <c r="B25">
        <v>1547</v>
      </c>
      <c r="C25">
        <v>7196</v>
      </c>
      <c r="D25">
        <f>_xlfn.XLOOKUP(표2[[#This Row],[지역]],표3[지역],표3[유동인구])</f>
        <v>35448</v>
      </c>
      <c r="E25" s="11">
        <f>표2[[#This Row],[유동인구]]/(표2[[#This Row],[프랜차이즈 가게수]]+표2[[#This Row],[일반 가게수]])</f>
        <v>4.0544435548438749</v>
      </c>
    </row>
    <row r="26" spans="1:5" x14ac:dyDescent="0.45">
      <c r="A26" t="s">
        <v>27</v>
      </c>
      <c r="B26">
        <v>911</v>
      </c>
      <c r="C26">
        <v>4406</v>
      </c>
      <c r="D26">
        <f>_xlfn.XLOOKUP(표2[[#This Row],[지역]],표3[지역],표3[유동인구])</f>
        <v>43105</v>
      </c>
      <c r="E26" s="11">
        <f>표2[[#This Row],[유동인구]]/(표2[[#This Row],[프랜차이즈 가게수]]+표2[[#This Row],[일반 가게수]])</f>
        <v>8.1070152341545985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AC88-77C4-4071-A404-E6B0AEE11128}">
  <dimension ref="A1:D26"/>
  <sheetViews>
    <sheetView workbookViewId="0">
      <selection activeCell="D7" sqref="D7"/>
    </sheetView>
  </sheetViews>
  <sheetFormatPr defaultRowHeight="17" x14ac:dyDescent="0.45"/>
  <cols>
    <col min="2" max="4" width="10.75" bestFit="1" customWidth="1"/>
  </cols>
  <sheetData>
    <row r="1" spans="1:4" x14ac:dyDescent="0.45">
      <c r="A1" t="s">
        <v>0</v>
      </c>
      <c r="B1" t="s">
        <v>28</v>
      </c>
      <c r="C1" t="s">
        <v>29</v>
      </c>
      <c r="D1" t="s">
        <v>30</v>
      </c>
    </row>
    <row r="2" spans="1:4" x14ac:dyDescent="0.45">
      <c r="A2" t="s">
        <v>3</v>
      </c>
      <c r="B2">
        <v>28462</v>
      </c>
      <c r="C2">
        <v>58</v>
      </c>
      <c r="D2">
        <v>98</v>
      </c>
    </row>
    <row r="3" spans="1:4" x14ac:dyDescent="0.45">
      <c r="A3" t="s">
        <v>4</v>
      </c>
      <c r="B3">
        <v>59302</v>
      </c>
      <c r="C3">
        <v>121</v>
      </c>
      <c r="D3">
        <v>335</v>
      </c>
    </row>
    <row r="4" spans="1:4" x14ac:dyDescent="0.45">
      <c r="A4" t="s">
        <v>5</v>
      </c>
      <c r="B4">
        <v>27276</v>
      </c>
      <c r="C4">
        <v>97</v>
      </c>
      <c r="D4">
        <v>81</v>
      </c>
    </row>
    <row r="5" spans="1:4" x14ac:dyDescent="0.45">
      <c r="A5" t="s">
        <v>6</v>
      </c>
      <c r="B5">
        <v>43880</v>
      </c>
      <c r="C5">
        <v>165</v>
      </c>
      <c r="D5">
        <v>48</v>
      </c>
    </row>
    <row r="6" spans="1:4" x14ac:dyDescent="0.45">
      <c r="A6" t="s">
        <v>7</v>
      </c>
      <c r="B6">
        <v>54032</v>
      </c>
      <c r="C6">
        <v>196</v>
      </c>
      <c r="D6">
        <v>48</v>
      </c>
    </row>
    <row r="7" spans="1:4" x14ac:dyDescent="0.45">
      <c r="A7" t="s">
        <v>8</v>
      </c>
      <c r="B7">
        <v>74606</v>
      </c>
      <c r="C7">
        <v>238</v>
      </c>
      <c r="D7">
        <v>56</v>
      </c>
    </row>
    <row r="8" spans="1:4" x14ac:dyDescent="0.45">
      <c r="A8" t="s">
        <v>9</v>
      </c>
      <c r="B8">
        <v>50572</v>
      </c>
      <c r="C8">
        <v>206</v>
      </c>
      <c r="D8">
        <v>21</v>
      </c>
    </row>
    <row r="9" spans="1:4" x14ac:dyDescent="0.45">
      <c r="A9" t="s">
        <v>10</v>
      </c>
      <c r="B9">
        <v>48664</v>
      </c>
      <c r="C9">
        <v>173</v>
      </c>
      <c r="D9">
        <v>45</v>
      </c>
    </row>
    <row r="10" spans="1:4" x14ac:dyDescent="0.45">
      <c r="A10" t="s">
        <v>11</v>
      </c>
      <c r="B10">
        <v>39620</v>
      </c>
      <c r="C10">
        <v>122</v>
      </c>
      <c r="D10">
        <v>12</v>
      </c>
    </row>
    <row r="11" spans="1:4" x14ac:dyDescent="0.45">
      <c r="A11" t="s">
        <v>12</v>
      </c>
      <c r="B11">
        <v>29733</v>
      </c>
      <c r="C11">
        <v>148</v>
      </c>
      <c r="D11">
        <v>18</v>
      </c>
    </row>
    <row r="12" spans="1:4" x14ac:dyDescent="0.45">
      <c r="A12" t="s">
        <v>13</v>
      </c>
      <c r="B12">
        <v>26495</v>
      </c>
      <c r="C12">
        <v>140</v>
      </c>
      <c r="D12">
        <v>16</v>
      </c>
    </row>
    <row r="13" spans="1:4" x14ac:dyDescent="0.45">
      <c r="A13" t="s">
        <v>14</v>
      </c>
      <c r="B13">
        <v>32771</v>
      </c>
      <c r="C13">
        <v>157</v>
      </c>
      <c r="D13">
        <v>16</v>
      </c>
    </row>
    <row r="14" spans="1:4" x14ac:dyDescent="0.45">
      <c r="A14" t="s">
        <v>15</v>
      </c>
      <c r="B14">
        <v>53527</v>
      </c>
      <c r="C14">
        <v>173</v>
      </c>
      <c r="D14">
        <v>37</v>
      </c>
    </row>
    <row r="15" spans="1:4" x14ac:dyDescent="0.45">
      <c r="A15" t="s">
        <v>16</v>
      </c>
      <c r="B15">
        <v>48258</v>
      </c>
      <c r="C15">
        <v>152</v>
      </c>
      <c r="D15">
        <v>60</v>
      </c>
    </row>
    <row r="16" spans="1:4" x14ac:dyDescent="0.45">
      <c r="A16" t="s">
        <v>17</v>
      </c>
      <c r="B16">
        <v>44174</v>
      </c>
      <c r="C16">
        <v>249</v>
      </c>
      <c r="D16">
        <v>80</v>
      </c>
    </row>
    <row r="17" spans="1:4" x14ac:dyDescent="0.45">
      <c r="A17" t="s">
        <v>18</v>
      </c>
      <c r="B17">
        <v>27141</v>
      </c>
      <c r="C17">
        <v>135</v>
      </c>
      <c r="D17">
        <v>36</v>
      </c>
    </row>
    <row r="18" spans="1:4" x14ac:dyDescent="0.45">
      <c r="A18" t="s">
        <v>19</v>
      </c>
      <c r="B18">
        <v>39050</v>
      </c>
      <c r="C18">
        <v>195</v>
      </c>
      <c r="D18">
        <v>70</v>
      </c>
    </row>
    <row r="19" spans="1:4" x14ac:dyDescent="0.45">
      <c r="A19" t="s">
        <v>20</v>
      </c>
      <c r="B19">
        <v>27184</v>
      </c>
      <c r="C19">
        <v>174</v>
      </c>
      <c r="D19">
        <v>97</v>
      </c>
    </row>
    <row r="20" spans="1:4" x14ac:dyDescent="0.45">
      <c r="A20" t="s">
        <v>21</v>
      </c>
      <c r="B20">
        <v>43882</v>
      </c>
      <c r="C20">
        <v>152</v>
      </c>
      <c r="D20">
        <v>162</v>
      </c>
    </row>
    <row r="21" spans="1:4" x14ac:dyDescent="0.45">
      <c r="A21" t="s">
        <v>22</v>
      </c>
      <c r="B21">
        <v>50048</v>
      </c>
      <c r="C21">
        <v>231</v>
      </c>
      <c r="D21">
        <v>48</v>
      </c>
    </row>
    <row r="22" spans="1:4" x14ac:dyDescent="0.45">
      <c r="A22" t="s">
        <v>23</v>
      </c>
      <c r="B22">
        <v>42788</v>
      </c>
      <c r="C22">
        <v>162</v>
      </c>
      <c r="D22">
        <v>25</v>
      </c>
    </row>
    <row r="23" spans="1:4" x14ac:dyDescent="0.45">
      <c r="A23" t="s">
        <v>24</v>
      </c>
      <c r="B23">
        <v>20651</v>
      </c>
      <c r="C23">
        <v>87</v>
      </c>
      <c r="D23">
        <v>123</v>
      </c>
    </row>
    <row r="24" spans="1:4" x14ac:dyDescent="0.45">
      <c r="A24" t="s">
        <v>25</v>
      </c>
      <c r="B24">
        <v>36428</v>
      </c>
      <c r="C24">
        <v>137</v>
      </c>
      <c r="D24">
        <v>284</v>
      </c>
    </row>
    <row r="25" spans="1:4" x14ac:dyDescent="0.45">
      <c r="A25" t="s">
        <v>26</v>
      </c>
      <c r="B25">
        <v>35448</v>
      </c>
      <c r="C25">
        <v>193</v>
      </c>
      <c r="D25">
        <v>118</v>
      </c>
    </row>
    <row r="26" spans="1:4" x14ac:dyDescent="0.45">
      <c r="A26" t="s">
        <v>27</v>
      </c>
      <c r="B26">
        <v>43105</v>
      </c>
      <c r="C26">
        <v>186</v>
      </c>
      <c r="D26">
        <v>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FDD2-276A-4A53-931C-754D2036FA87}">
  <dimension ref="A1:G26"/>
  <sheetViews>
    <sheetView workbookViewId="0">
      <selection activeCell="C1" sqref="A1:G26"/>
    </sheetView>
  </sheetViews>
  <sheetFormatPr defaultRowHeight="17" x14ac:dyDescent="0.45"/>
  <sheetData>
    <row r="1" spans="1:7" x14ac:dyDescent="0.4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45">
      <c r="A2" t="s">
        <v>3</v>
      </c>
      <c r="B2" s="1">
        <v>0.79500000000000004</v>
      </c>
      <c r="C2" s="1">
        <v>0.56200000000000006</v>
      </c>
      <c r="D2" s="1">
        <v>0.43</v>
      </c>
      <c r="E2" s="1">
        <v>0.83299999999999996</v>
      </c>
      <c r="F2" s="1">
        <v>0.57999999999999996</v>
      </c>
      <c r="G2" s="1">
        <v>0.41700000000000004</v>
      </c>
    </row>
    <row r="3" spans="1:7" x14ac:dyDescent="0.45">
      <c r="A3" t="s">
        <v>4</v>
      </c>
      <c r="B3" s="1">
        <v>0.753</v>
      </c>
      <c r="C3" s="1">
        <v>0.54200000000000004</v>
      </c>
      <c r="D3" s="1">
        <v>0.42599999999999999</v>
      </c>
      <c r="E3" s="1">
        <v>0.80500000000000005</v>
      </c>
      <c r="F3" s="1">
        <v>0.59</v>
      </c>
      <c r="G3" s="1">
        <v>0.39600000000000002</v>
      </c>
    </row>
    <row r="4" spans="1:7" x14ac:dyDescent="0.45">
      <c r="A4" t="s">
        <v>5</v>
      </c>
      <c r="B4" s="1">
        <v>0.77800000000000002</v>
      </c>
      <c r="C4" s="1">
        <v>0.53700000000000003</v>
      </c>
      <c r="D4" s="1">
        <v>0.42799999999999999</v>
      </c>
      <c r="E4" s="1">
        <v>0.81799999999999995</v>
      </c>
      <c r="F4" s="1">
        <v>0.57100000000000006</v>
      </c>
      <c r="G4" s="1">
        <v>0.39799999999999996</v>
      </c>
    </row>
    <row r="5" spans="1:7" x14ac:dyDescent="0.45">
      <c r="A5" t="s">
        <v>6</v>
      </c>
      <c r="B5" s="1">
        <v>0.76800000000000002</v>
      </c>
      <c r="C5" s="1">
        <v>0.51200000000000001</v>
      </c>
      <c r="D5" s="1">
        <v>0.39299999999999996</v>
      </c>
      <c r="E5" s="1">
        <v>0.78099999999999992</v>
      </c>
      <c r="F5" s="1">
        <v>0.52900000000000003</v>
      </c>
      <c r="G5" s="1">
        <v>0.35600000000000004</v>
      </c>
    </row>
    <row r="6" spans="1:7" x14ac:dyDescent="0.45">
      <c r="A6" t="s">
        <v>7</v>
      </c>
      <c r="B6" s="1">
        <v>0.746</v>
      </c>
      <c r="C6" s="1">
        <v>0.51600000000000001</v>
      </c>
      <c r="D6" s="1">
        <v>0.38200000000000001</v>
      </c>
      <c r="E6" s="1">
        <v>0.76500000000000001</v>
      </c>
      <c r="F6" s="1">
        <v>0.435</v>
      </c>
      <c r="G6" s="1">
        <v>0.36</v>
      </c>
    </row>
    <row r="7" spans="1:7" x14ac:dyDescent="0.45">
      <c r="A7" t="s">
        <v>8</v>
      </c>
      <c r="B7" s="1">
        <v>0.77800000000000002</v>
      </c>
      <c r="C7" s="1">
        <v>0.51300000000000001</v>
      </c>
      <c r="D7" s="1">
        <v>0.39600000000000002</v>
      </c>
      <c r="E7" s="1">
        <v>0.72799999999999998</v>
      </c>
      <c r="F7" s="1">
        <v>0.48100000000000004</v>
      </c>
      <c r="G7" s="1">
        <v>0.35</v>
      </c>
    </row>
    <row r="8" spans="1:7" x14ac:dyDescent="0.45">
      <c r="A8" t="s">
        <v>9</v>
      </c>
      <c r="B8" s="1">
        <v>0.69700000000000006</v>
      </c>
      <c r="C8" s="1">
        <v>0.45</v>
      </c>
      <c r="D8" s="1">
        <v>0.32</v>
      </c>
      <c r="E8" s="1">
        <v>0.73099999999999998</v>
      </c>
      <c r="F8" s="1">
        <v>0.441</v>
      </c>
      <c r="G8" s="1">
        <v>0.33100000000000002</v>
      </c>
    </row>
    <row r="9" spans="1:7" x14ac:dyDescent="0.45">
      <c r="A9" t="s">
        <v>10</v>
      </c>
      <c r="B9" s="1">
        <v>0.79400000000000004</v>
      </c>
      <c r="C9" s="1">
        <v>0.56000000000000005</v>
      </c>
      <c r="D9" s="1">
        <v>0.41600000000000004</v>
      </c>
      <c r="E9" s="1">
        <v>0.76200000000000001</v>
      </c>
      <c r="F9" s="1">
        <v>0.50600000000000001</v>
      </c>
      <c r="G9" s="1">
        <v>0.40299999999999997</v>
      </c>
    </row>
    <row r="10" spans="1:7" x14ac:dyDescent="0.45">
      <c r="A10" t="s">
        <v>11</v>
      </c>
      <c r="B10" s="1">
        <v>0.73799999999999999</v>
      </c>
      <c r="C10" s="1">
        <v>0.47499999999999998</v>
      </c>
      <c r="D10" s="1">
        <v>0.32799999999999996</v>
      </c>
      <c r="E10" s="1">
        <v>0.71200000000000008</v>
      </c>
      <c r="F10" s="1">
        <v>0.42599999999999999</v>
      </c>
      <c r="G10" s="1">
        <v>0.311</v>
      </c>
    </row>
    <row r="11" spans="1:7" x14ac:dyDescent="0.45">
      <c r="A11" t="s">
        <v>12</v>
      </c>
      <c r="B11" s="1">
        <v>0.74199999999999999</v>
      </c>
      <c r="C11" s="1">
        <v>0.48899999999999999</v>
      </c>
      <c r="D11" s="1">
        <v>0.36799999999999999</v>
      </c>
      <c r="E11" s="1">
        <v>0.77099999999999991</v>
      </c>
      <c r="F11" s="1">
        <v>0.44700000000000001</v>
      </c>
      <c r="G11" s="1">
        <v>0.35</v>
      </c>
    </row>
    <row r="12" spans="1:7" x14ac:dyDescent="0.45">
      <c r="A12" t="s">
        <v>13</v>
      </c>
      <c r="B12" s="1">
        <v>0.76400000000000001</v>
      </c>
      <c r="C12" s="1">
        <v>0.496</v>
      </c>
      <c r="D12" s="1">
        <v>0.37200000000000005</v>
      </c>
      <c r="E12" s="1">
        <v>0.78200000000000003</v>
      </c>
      <c r="F12" s="1">
        <v>0.46600000000000003</v>
      </c>
      <c r="G12" s="1">
        <v>0.36099999999999999</v>
      </c>
    </row>
    <row r="13" spans="1:7" x14ac:dyDescent="0.45">
      <c r="A13" t="s">
        <v>14</v>
      </c>
      <c r="B13" s="1">
        <v>0.73199999999999998</v>
      </c>
      <c r="C13" s="1">
        <v>0.47200000000000003</v>
      </c>
      <c r="D13" s="1">
        <v>0.35200000000000004</v>
      </c>
      <c r="E13" s="1">
        <v>0.754</v>
      </c>
      <c r="F13" s="1">
        <v>0.45</v>
      </c>
      <c r="G13" s="1">
        <v>0.30399999999999999</v>
      </c>
    </row>
    <row r="14" spans="1:7" x14ac:dyDescent="0.45">
      <c r="A14" t="s">
        <v>15</v>
      </c>
      <c r="B14" s="1">
        <v>0.7659999999999999</v>
      </c>
      <c r="C14" s="1">
        <v>0.48499999999999999</v>
      </c>
      <c r="D14" s="1">
        <v>0.35399999999999998</v>
      </c>
      <c r="E14" s="1">
        <v>0.79799999999999993</v>
      </c>
      <c r="F14" s="1">
        <v>0.52</v>
      </c>
      <c r="G14" s="1">
        <v>0.33299999999999996</v>
      </c>
    </row>
    <row r="15" spans="1:7" x14ac:dyDescent="0.45">
      <c r="A15" t="s">
        <v>16</v>
      </c>
      <c r="B15" s="1">
        <v>0.74</v>
      </c>
      <c r="C15" s="1">
        <v>0.48499999999999999</v>
      </c>
      <c r="D15" s="1">
        <v>0.36899999999999999</v>
      </c>
      <c r="E15" s="1">
        <v>0.755</v>
      </c>
      <c r="F15" s="1">
        <v>0.48200000000000004</v>
      </c>
      <c r="G15" s="1">
        <v>0.35200000000000004</v>
      </c>
    </row>
    <row r="16" spans="1:7" x14ac:dyDescent="0.45">
      <c r="A16" t="s">
        <v>17</v>
      </c>
      <c r="B16" s="1">
        <v>0.748</v>
      </c>
      <c r="C16" s="1">
        <v>0.48399999999999999</v>
      </c>
      <c r="D16" s="1">
        <v>0.35</v>
      </c>
      <c r="E16" s="1">
        <v>0.745</v>
      </c>
      <c r="F16" s="1">
        <v>0.45700000000000002</v>
      </c>
      <c r="G16" s="1">
        <v>0.29399999999999998</v>
      </c>
    </row>
    <row r="17" spans="1:7" x14ac:dyDescent="0.45">
      <c r="A17" t="s">
        <v>18</v>
      </c>
      <c r="B17" s="1">
        <v>0.7340000000000001</v>
      </c>
      <c r="C17" s="1">
        <v>0.46100000000000002</v>
      </c>
      <c r="D17" s="1">
        <v>0.34600000000000003</v>
      </c>
      <c r="E17" s="1">
        <v>0.71599999999999997</v>
      </c>
      <c r="F17" s="1">
        <v>0.42100000000000004</v>
      </c>
      <c r="G17" s="1">
        <v>0.316</v>
      </c>
    </row>
    <row r="18" spans="1:7" x14ac:dyDescent="0.45">
      <c r="A18" t="s">
        <v>19</v>
      </c>
      <c r="B18" s="1">
        <v>0.74099999999999999</v>
      </c>
      <c r="C18" s="1">
        <v>0.47399999999999998</v>
      </c>
      <c r="D18" s="1">
        <v>0.33500000000000002</v>
      </c>
      <c r="E18" s="1">
        <v>0.752</v>
      </c>
      <c r="F18" s="1">
        <v>0.48899999999999999</v>
      </c>
      <c r="G18" s="1">
        <v>0.30199999999999999</v>
      </c>
    </row>
    <row r="19" spans="1:7" x14ac:dyDescent="0.45">
      <c r="A19" t="s">
        <v>20</v>
      </c>
      <c r="B19" s="1">
        <v>0.73499999999999999</v>
      </c>
      <c r="C19" s="1">
        <v>0.495</v>
      </c>
      <c r="D19" s="1">
        <v>0.36200000000000004</v>
      </c>
      <c r="E19" s="1">
        <v>0.73099999999999998</v>
      </c>
      <c r="F19" s="1">
        <v>0.46200000000000002</v>
      </c>
      <c r="G19" s="1">
        <v>0.34299999999999997</v>
      </c>
    </row>
    <row r="20" spans="1:7" x14ac:dyDescent="0.45">
      <c r="A20" t="s">
        <v>21</v>
      </c>
      <c r="B20" s="1">
        <v>0.746</v>
      </c>
      <c r="C20" s="1">
        <v>0.51400000000000001</v>
      </c>
      <c r="D20" s="1">
        <v>0.4</v>
      </c>
      <c r="E20" s="1">
        <v>0.76300000000000001</v>
      </c>
      <c r="F20" s="1">
        <v>0.5</v>
      </c>
      <c r="G20" s="1">
        <v>0.377</v>
      </c>
    </row>
    <row r="21" spans="1:7" x14ac:dyDescent="0.45">
      <c r="A21" t="s">
        <v>22</v>
      </c>
      <c r="B21" s="1">
        <v>0.77900000000000003</v>
      </c>
      <c r="C21" s="1">
        <v>0.50800000000000001</v>
      </c>
      <c r="D21" s="1">
        <v>0.371</v>
      </c>
      <c r="E21" s="1">
        <v>0.78299999999999992</v>
      </c>
      <c r="F21" s="1">
        <v>0.48</v>
      </c>
      <c r="G21" s="1">
        <v>0.34399999999999997</v>
      </c>
    </row>
    <row r="22" spans="1:7" x14ac:dyDescent="0.45">
      <c r="A22" t="s">
        <v>23</v>
      </c>
      <c r="B22" s="1">
        <v>0.73099999999999998</v>
      </c>
      <c r="C22" s="1">
        <v>0.48700000000000004</v>
      </c>
      <c r="D22" s="1">
        <v>0.36299999999999999</v>
      </c>
      <c r="E22" s="1">
        <v>0.71200000000000008</v>
      </c>
      <c r="F22" s="1">
        <v>0.41600000000000004</v>
      </c>
      <c r="G22" s="1">
        <v>0.316</v>
      </c>
    </row>
    <row r="23" spans="1:7" x14ac:dyDescent="0.45">
      <c r="A23" t="s">
        <v>24</v>
      </c>
      <c r="B23" s="1">
        <v>0.755</v>
      </c>
      <c r="C23" s="1">
        <v>0.52500000000000002</v>
      </c>
      <c r="D23" s="1">
        <v>0.39500000000000002</v>
      </c>
      <c r="E23" s="1">
        <v>0.78400000000000003</v>
      </c>
      <c r="F23" s="1">
        <v>0.51400000000000001</v>
      </c>
      <c r="G23" s="1">
        <v>0.38799999999999996</v>
      </c>
    </row>
    <row r="24" spans="1:7" x14ac:dyDescent="0.45">
      <c r="A24" t="s">
        <v>25</v>
      </c>
      <c r="B24" s="1">
        <v>0.71900000000000008</v>
      </c>
      <c r="C24" s="1">
        <v>0.48899999999999999</v>
      </c>
      <c r="D24" s="1">
        <v>0.37799999999999995</v>
      </c>
      <c r="E24" s="1">
        <v>0.75900000000000001</v>
      </c>
      <c r="F24" s="1">
        <v>0.46</v>
      </c>
      <c r="G24" s="1">
        <v>0.36399999999999999</v>
      </c>
    </row>
    <row r="25" spans="1:7" x14ac:dyDescent="0.45">
      <c r="A25" t="s">
        <v>26</v>
      </c>
      <c r="B25" s="1">
        <v>0.71700000000000008</v>
      </c>
      <c r="C25" s="1">
        <v>0.46700000000000003</v>
      </c>
      <c r="D25" s="1">
        <v>0.34799999999999998</v>
      </c>
      <c r="E25" s="1">
        <v>0.71499999999999997</v>
      </c>
      <c r="F25" s="1">
        <v>0.435</v>
      </c>
      <c r="G25" s="1">
        <v>0.34600000000000003</v>
      </c>
    </row>
    <row r="26" spans="1:7" x14ac:dyDescent="0.45">
      <c r="A26" t="s">
        <v>27</v>
      </c>
      <c r="B26" s="1">
        <v>0.72699999999999998</v>
      </c>
      <c r="C26" s="1">
        <v>0.48</v>
      </c>
      <c r="D26" s="1">
        <v>0.34899999999999998</v>
      </c>
      <c r="E26" s="1">
        <v>0.73499999999999999</v>
      </c>
      <c r="F26" s="1">
        <v>0.40600000000000003</v>
      </c>
      <c r="G26" s="1">
        <v>0.32700000000000001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CF4E-D897-4B5D-BA59-AB8810EB21C9}">
  <dimension ref="A1:D26"/>
  <sheetViews>
    <sheetView workbookViewId="0">
      <selection activeCell="B4" sqref="A1:D26"/>
    </sheetView>
  </sheetViews>
  <sheetFormatPr defaultRowHeight="17" x14ac:dyDescent="0.45"/>
  <cols>
    <col min="2" max="4" width="10.08203125" bestFit="1" customWidth="1"/>
  </cols>
  <sheetData>
    <row r="1" spans="1:4" x14ac:dyDescent="0.45">
      <c r="A1" t="s">
        <v>0</v>
      </c>
      <c r="B1" t="s">
        <v>37</v>
      </c>
      <c r="C1" t="s">
        <v>38</v>
      </c>
      <c r="D1" t="s">
        <v>39</v>
      </c>
    </row>
    <row r="2" spans="1:4" x14ac:dyDescent="0.45">
      <c r="A2" t="s">
        <v>3</v>
      </c>
      <c r="B2">
        <v>62</v>
      </c>
      <c r="C2">
        <v>77</v>
      </c>
      <c r="D2">
        <v>91</v>
      </c>
    </row>
    <row r="3" spans="1:4" x14ac:dyDescent="0.45">
      <c r="A3" t="s">
        <v>4</v>
      </c>
      <c r="B3">
        <v>60</v>
      </c>
      <c r="C3">
        <v>74</v>
      </c>
      <c r="D3">
        <v>93</v>
      </c>
    </row>
    <row r="4" spans="1:4" x14ac:dyDescent="0.45">
      <c r="A4" t="s">
        <v>5</v>
      </c>
      <c r="B4">
        <v>51</v>
      </c>
      <c r="C4">
        <v>52</v>
      </c>
      <c r="D4">
        <v>57</v>
      </c>
    </row>
    <row r="5" spans="1:4" x14ac:dyDescent="0.45">
      <c r="A5" t="s">
        <v>6</v>
      </c>
      <c r="B5">
        <v>56</v>
      </c>
      <c r="C5">
        <v>68</v>
      </c>
      <c r="D5">
        <v>63</v>
      </c>
    </row>
    <row r="6" spans="1:4" x14ac:dyDescent="0.45">
      <c r="A6" t="s">
        <v>7</v>
      </c>
      <c r="B6">
        <v>64</v>
      </c>
      <c r="C6">
        <v>91</v>
      </c>
      <c r="D6">
        <v>71</v>
      </c>
    </row>
    <row r="7" spans="1:4" x14ac:dyDescent="0.45">
      <c r="A7" t="s">
        <v>8</v>
      </c>
      <c r="B7">
        <v>73</v>
      </c>
      <c r="C7">
        <v>74</v>
      </c>
      <c r="D7">
        <v>75</v>
      </c>
    </row>
    <row r="8" spans="1:4" x14ac:dyDescent="0.45">
      <c r="A8" t="s">
        <v>9</v>
      </c>
      <c r="B8">
        <v>66</v>
      </c>
      <c r="C8">
        <v>79</v>
      </c>
      <c r="D8">
        <v>85</v>
      </c>
    </row>
    <row r="9" spans="1:4" x14ac:dyDescent="0.45">
      <c r="A9" t="s">
        <v>10</v>
      </c>
      <c r="B9">
        <v>58</v>
      </c>
      <c r="C9">
        <v>68</v>
      </c>
      <c r="D9">
        <v>73</v>
      </c>
    </row>
    <row r="10" spans="1:4" x14ac:dyDescent="0.45">
      <c r="A10" t="s">
        <v>11</v>
      </c>
      <c r="B10">
        <v>50</v>
      </c>
      <c r="C10">
        <v>80</v>
      </c>
      <c r="D10">
        <v>99</v>
      </c>
    </row>
    <row r="11" spans="1:4" x14ac:dyDescent="0.45">
      <c r="A11" t="s">
        <v>12</v>
      </c>
      <c r="B11">
        <v>41</v>
      </c>
      <c r="C11">
        <v>49</v>
      </c>
      <c r="D11">
        <v>44</v>
      </c>
    </row>
    <row r="12" spans="1:4" x14ac:dyDescent="0.45">
      <c r="A12" t="s">
        <v>13</v>
      </c>
      <c r="B12">
        <v>46</v>
      </c>
      <c r="C12">
        <v>62</v>
      </c>
      <c r="D12">
        <v>68</v>
      </c>
    </row>
    <row r="13" spans="1:4" x14ac:dyDescent="0.45">
      <c r="A13" t="s">
        <v>14</v>
      </c>
      <c r="B13">
        <v>67</v>
      </c>
      <c r="C13">
        <v>84</v>
      </c>
      <c r="D13">
        <v>82</v>
      </c>
    </row>
    <row r="14" spans="1:4" x14ac:dyDescent="0.45">
      <c r="A14" t="s">
        <v>15</v>
      </c>
      <c r="B14">
        <v>39</v>
      </c>
      <c r="C14">
        <v>48</v>
      </c>
      <c r="D14">
        <v>54</v>
      </c>
    </row>
    <row r="15" spans="1:4" x14ac:dyDescent="0.45">
      <c r="A15" t="s">
        <v>16</v>
      </c>
      <c r="B15">
        <v>126</v>
      </c>
      <c r="C15">
        <v>138</v>
      </c>
      <c r="D15">
        <v>140</v>
      </c>
    </row>
    <row r="16" spans="1:4" x14ac:dyDescent="0.45">
      <c r="A16" t="s">
        <v>17</v>
      </c>
      <c r="B16">
        <v>54</v>
      </c>
      <c r="C16">
        <v>76</v>
      </c>
      <c r="D16">
        <v>63</v>
      </c>
    </row>
    <row r="17" spans="1:4" x14ac:dyDescent="0.45">
      <c r="A17" t="s">
        <v>18</v>
      </c>
      <c r="B17">
        <v>116</v>
      </c>
      <c r="C17">
        <v>139</v>
      </c>
      <c r="D17">
        <v>143</v>
      </c>
    </row>
    <row r="18" spans="1:4" x14ac:dyDescent="0.45">
      <c r="A18" t="s">
        <v>19</v>
      </c>
      <c r="B18">
        <v>64</v>
      </c>
      <c r="C18">
        <v>70</v>
      </c>
      <c r="D18">
        <v>89</v>
      </c>
    </row>
    <row r="19" spans="1:4" x14ac:dyDescent="0.45">
      <c r="A19" t="s">
        <v>20</v>
      </c>
      <c r="B19">
        <v>46</v>
      </c>
      <c r="C19">
        <v>79</v>
      </c>
      <c r="D19">
        <v>82</v>
      </c>
    </row>
    <row r="20" spans="1:4" x14ac:dyDescent="0.45">
      <c r="A20" t="s">
        <v>21</v>
      </c>
      <c r="B20">
        <v>75</v>
      </c>
      <c r="C20">
        <v>116</v>
      </c>
      <c r="D20">
        <v>131</v>
      </c>
    </row>
    <row r="21" spans="1:4" x14ac:dyDescent="0.45">
      <c r="A21" t="s">
        <v>22</v>
      </c>
      <c r="B21">
        <v>56</v>
      </c>
      <c r="C21">
        <v>76</v>
      </c>
      <c r="D21">
        <v>60</v>
      </c>
    </row>
    <row r="22" spans="1:4" x14ac:dyDescent="0.45">
      <c r="A22" t="s">
        <v>23</v>
      </c>
      <c r="B22">
        <v>85</v>
      </c>
      <c r="C22">
        <v>107</v>
      </c>
      <c r="D22">
        <v>123</v>
      </c>
    </row>
    <row r="23" spans="1:4" x14ac:dyDescent="0.45">
      <c r="A23" t="s">
        <v>24</v>
      </c>
      <c r="B23">
        <v>70</v>
      </c>
      <c r="C23">
        <v>97</v>
      </c>
      <c r="D23">
        <v>87</v>
      </c>
    </row>
    <row r="24" spans="1:4" x14ac:dyDescent="0.45">
      <c r="A24" t="s">
        <v>25</v>
      </c>
      <c r="B24">
        <v>174</v>
      </c>
      <c r="C24">
        <v>189</v>
      </c>
      <c r="D24">
        <v>211</v>
      </c>
    </row>
    <row r="25" spans="1:4" x14ac:dyDescent="0.45">
      <c r="A25" t="s">
        <v>26</v>
      </c>
      <c r="B25">
        <v>128</v>
      </c>
      <c r="C25">
        <v>131</v>
      </c>
      <c r="D25">
        <v>149</v>
      </c>
    </row>
    <row r="26" spans="1:4" x14ac:dyDescent="0.45">
      <c r="A26" t="s">
        <v>27</v>
      </c>
      <c r="B26">
        <v>61</v>
      </c>
      <c r="C26">
        <v>89</v>
      </c>
      <c r="D26">
        <v>90</v>
      </c>
    </row>
  </sheetData>
  <phoneticPr fontId="3" type="noConversion"/>
  <conditionalFormatting sqref="A2:D26">
    <cfRule type="containsText" dxfId="0" priority="2" operator="containsText" text="감소">
      <formula>NOT(ISERROR(SEARCH("감소",A2)))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D0E4-4864-4ABD-923B-3D9A97337356}">
  <dimension ref="A1:D26"/>
  <sheetViews>
    <sheetView workbookViewId="0">
      <selection activeCell="G27" sqref="G27"/>
    </sheetView>
  </sheetViews>
  <sheetFormatPr defaultRowHeight="17" x14ac:dyDescent="0.45"/>
  <cols>
    <col min="2" max="4" width="10.08203125" bestFit="1" customWidth="1"/>
  </cols>
  <sheetData>
    <row r="1" spans="1:4" x14ac:dyDescent="0.45">
      <c r="A1" t="s">
        <v>0</v>
      </c>
      <c r="B1" t="s">
        <v>37</v>
      </c>
      <c r="C1" t="s">
        <v>38</v>
      </c>
      <c r="D1" t="s">
        <v>39</v>
      </c>
    </row>
    <row r="2" spans="1:4" x14ac:dyDescent="0.45">
      <c r="A2" t="s">
        <v>3</v>
      </c>
      <c r="B2">
        <v>42</v>
      </c>
      <c r="C2">
        <v>82</v>
      </c>
      <c r="D2">
        <v>92</v>
      </c>
    </row>
    <row r="3" spans="1:4" x14ac:dyDescent="0.45">
      <c r="A3" t="s">
        <v>4</v>
      </c>
      <c r="B3">
        <v>46</v>
      </c>
      <c r="C3">
        <v>93</v>
      </c>
      <c r="D3">
        <v>74</v>
      </c>
    </row>
    <row r="4" spans="1:4" x14ac:dyDescent="0.45">
      <c r="A4" t="s">
        <v>5</v>
      </c>
      <c r="B4">
        <v>35</v>
      </c>
      <c r="C4">
        <v>47</v>
      </c>
      <c r="D4">
        <v>80</v>
      </c>
    </row>
    <row r="5" spans="1:4" x14ac:dyDescent="0.45">
      <c r="A5" t="s">
        <v>6</v>
      </c>
      <c r="B5">
        <v>49</v>
      </c>
      <c r="C5">
        <v>56</v>
      </c>
      <c r="D5">
        <v>73</v>
      </c>
    </row>
    <row r="6" spans="1:4" x14ac:dyDescent="0.45">
      <c r="A6" t="s">
        <v>7</v>
      </c>
      <c r="B6">
        <v>68</v>
      </c>
      <c r="C6">
        <v>117</v>
      </c>
      <c r="D6">
        <v>77</v>
      </c>
    </row>
    <row r="7" spans="1:4" x14ac:dyDescent="0.45">
      <c r="A7" t="s">
        <v>8</v>
      </c>
      <c r="B7">
        <v>56</v>
      </c>
      <c r="C7">
        <v>106</v>
      </c>
      <c r="D7">
        <v>89</v>
      </c>
    </row>
    <row r="8" spans="1:4" x14ac:dyDescent="0.45">
      <c r="A8" t="s">
        <v>9</v>
      </c>
      <c r="B8">
        <v>60</v>
      </c>
      <c r="C8">
        <v>91</v>
      </c>
      <c r="D8">
        <v>83</v>
      </c>
    </row>
    <row r="9" spans="1:4" x14ac:dyDescent="0.45">
      <c r="A9" t="s">
        <v>10</v>
      </c>
      <c r="B9">
        <v>42</v>
      </c>
      <c r="C9">
        <v>82</v>
      </c>
      <c r="D9">
        <v>68</v>
      </c>
    </row>
    <row r="10" spans="1:4" x14ac:dyDescent="0.45">
      <c r="A10" t="s">
        <v>11</v>
      </c>
      <c r="B10">
        <v>51</v>
      </c>
      <c r="C10">
        <v>80</v>
      </c>
      <c r="D10">
        <v>99</v>
      </c>
    </row>
    <row r="11" spans="1:4" x14ac:dyDescent="0.45">
      <c r="A11" t="s">
        <v>12</v>
      </c>
      <c r="B11">
        <v>34</v>
      </c>
      <c r="C11">
        <v>63</v>
      </c>
      <c r="D11">
        <v>56</v>
      </c>
    </row>
    <row r="12" spans="1:4" x14ac:dyDescent="0.45">
      <c r="A12" t="s">
        <v>13</v>
      </c>
      <c r="B12">
        <v>41</v>
      </c>
      <c r="C12">
        <v>66</v>
      </c>
      <c r="D12">
        <v>85</v>
      </c>
    </row>
    <row r="13" spans="1:4" x14ac:dyDescent="0.45">
      <c r="A13" t="s">
        <v>14</v>
      </c>
      <c r="B13">
        <v>65</v>
      </c>
      <c r="C13">
        <v>95</v>
      </c>
      <c r="D13">
        <v>90</v>
      </c>
    </row>
    <row r="14" spans="1:4" x14ac:dyDescent="0.45">
      <c r="A14" t="s">
        <v>15</v>
      </c>
      <c r="B14">
        <v>41</v>
      </c>
      <c r="C14">
        <v>65</v>
      </c>
      <c r="D14">
        <v>57</v>
      </c>
    </row>
    <row r="15" spans="1:4" x14ac:dyDescent="0.45">
      <c r="A15" t="s">
        <v>16</v>
      </c>
      <c r="B15">
        <v>99</v>
      </c>
      <c r="C15">
        <v>163</v>
      </c>
      <c r="D15">
        <v>146</v>
      </c>
    </row>
    <row r="16" spans="1:4" x14ac:dyDescent="0.45">
      <c r="A16" t="s">
        <v>17</v>
      </c>
      <c r="B16">
        <v>64</v>
      </c>
      <c r="C16">
        <v>76</v>
      </c>
      <c r="D16">
        <v>73</v>
      </c>
    </row>
    <row r="17" spans="1:4" x14ac:dyDescent="0.45">
      <c r="A17" t="s">
        <v>18</v>
      </c>
      <c r="B17">
        <v>86</v>
      </c>
      <c r="C17">
        <v>138</v>
      </c>
      <c r="D17">
        <v>166</v>
      </c>
    </row>
    <row r="18" spans="1:4" x14ac:dyDescent="0.45">
      <c r="A18" t="s">
        <v>19</v>
      </c>
      <c r="B18">
        <v>69</v>
      </c>
      <c r="C18">
        <v>90</v>
      </c>
      <c r="D18">
        <v>97</v>
      </c>
    </row>
    <row r="19" spans="1:4" x14ac:dyDescent="0.45">
      <c r="A19" t="s">
        <v>20</v>
      </c>
      <c r="B19">
        <v>52</v>
      </c>
      <c r="C19">
        <v>73</v>
      </c>
      <c r="D19">
        <v>92</v>
      </c>
    </row>
    <row r="20" spans="1:4" x14ac:dyDescent="0.45">
      <c r="A20" t="s">
        <v>21</v>
      </c>
      <c r="B20">
        <v>76</v>
      </c>
      <c r="C20">
        <v>121</v>
      </c>
      <c r="D20">
        <v>132</v>
      </c>
    </row>
    <row r="21" spans="1:4" x14ac:dyDescent="0.45">
      <c r="A21" t="s">
        <v>22</v>
      </c>
      <c r="B21">
        <v>53</v>
      </c>
      <c r="C21">
        <v>72</v>
      </c>
      <c r="D21">
        <v>62</v>
      </c>
    </row>
    <row r="22" spans="1:4" x14ac:dyDescent="0.45">
      <c r="A22" t="s">
        <v>23</v>
      </c>
      <c r="B22">
        <v>73</v>
      </c>
      <c r="C22">
        <v>122</v>
      </c>
      <c r="D22">
        <v>128</v>
      </c>
    </row>
    <row r="23" spans="1:4" x14ac:dyDescent="0.45">
      <c r="A23" t="s">
        <v>24</v>
      </c>
      <c r="B23">
        <v>88</v>
      </c>
      <c r="C23">
        <v>87</v>
      </c>
      <c r="D23">
        <v>91</v>
      </c>
    </row>
    <row r="24" spans="1:4" x14ac:dyDescent="0.45">
      <c r="A24" t="s">
        <v>25</v>
      </c>
      <c r="B24">
        <v>160</v>
      </c>
      <c r="C24">
        <v>191</v>
      </c>
      <c r="D24">
        <v>211</v>
      </c>
    </row>
    <row r="25" spans="1:4" x14ac:dyDescent="0.45">
      <c r="A25" t="s">
        <v>26</v>
      </c>
      <c r="B25">
        <v>89</v>
      </c>
      <c r="C25">
        <v>157</v>
      </c>
      <c r="D25">
        <v>180</v>
      </c>
    </row>
    <row r="26" spans="1:4" x14ac:dyDescent="0.45">
      <c r="A26" t="s">
        <v>27</v>
      </c>
      <c r="B26">
        <v>73</v>
      </c>
      <c r="C26">
        <v>86</v>
      </c>
      <c r="D26">
        <v>95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FEC1-CD5B-4F64-A75A-7317E6E710CA}">
  <dimension ref="A1:G19"/>
  <sheetViews>
    <sheetView workbookViewId="0">
      <selection activeCell="I14" sqref="I14"/>
    </sheetView>
  </sheetViews>
  <sheetFormatPr defaultRowHeight="17" x14ac:dyDescent="0.45"/>
  <cols>
    <col min="1" max="1" width="54.25" customWidth="1"/>
  </cols>
  <sheetData>
    <row r="1" spans="1:7" x14ac:dyDescent="0.45">
      <c r="A1" s="2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4" t="s">
        <v>46</v>
      </c>
    </row>
    <row r="2" spans="1:7" x14ac:dyDescent="0.45">
      <c r="A2" s="5" t="s">
        <v>47</v>
      </c>
      <c r="B2" s="6">
        <v>11.5</v>
      </c>
      <c r="C2" s="6">
        <v>13.1</v>
      </c>
      <c r="D2" s="6">
        <v>13.2</v>
      </c>
      <c r="E2" s="6">
        <v>14.2</v>
      </c>
      <c r="F2" s="6">
        <v>11.4</v>
      </c>
      <c r="G2" s="7">
        <v>63.4</v>
      </c>
    </row>
    <row r="3" spans="1:7" x14ac:dyDescent="0.45">
      <c r="A3" s="8" t="s">
        <v>48</v>
      </c>
      <c r="B3" s="9">
        <v>12.9</v>
      </c>
      <c r="C3" s="9">
        <v>11.5</v>
      </c>
      <c r="D3" s="9">
        <v>10.9</v>
      </c>
      <c r="E3" s="9">
        <v>11.8</v>
      </c>
      <c r="F3" s="9">
        <v>11.4</v>
      </c>
      <c r="G3" s="10">
        <v>58.5</v>
      </c>
    </row>
    <row r="4" spans="1:7" x14ac:dyDescent="0.45">
      <c r="A4" s="5" t="s">
        <v>49</v>
      </c>
      <c r="B4" s="6">
        <v>12.5</v>
      </c>
      <c r="C4" s="6">
        <v>12.7</v>
      </c>
      <c r="D4" s="6">
        <v>13.2</v>
      </c>
      <c r="E4" s="6">
        <v>9.3000000000000007</v>
      </c>
      <c r="F4" s="6">
        <v>7.3</v>
      </c>
      <c r="G4" s="7">
        <v>55</v>
      </c>
    </row>
    <row r="5" spans="1:7" x14ac:dyDescent="0.45">
      <c r="A5" s="8" t="s">
        <v>50</v>
      </c>
      <c r="B5" s="9">
        <v>4.2</v>
      </c>
      <c r="C5" s="9">
        <v>7</v>
      </c>
      <c r="D5" s="9">
        <v>8.1</v>
      </c>
      <c r="E5" s="9">
        <v>9.9</v>
      </c>
      <c r="F5" s="9">
        <v>12.6</v>
      </c>
      <c r="G5" s="10">
        <v>41.8</v>
      </c>
    </row>
    <row r="6" spans="1:7" x14ac:dyDescent="0.45">
      <c r="A6" s="5" t="s">
        <v>51</v>
      </c>
      <c r="B6" s="6">
        <v>6.3</v>
      </c>
      <c r="C6" s="6">
        <v>5</v>
      </c>
      <c r="D6" s="6">
        <v>6</v>
      </c>
      <c r="E6" s="6">
        <v>8.6</v>
      </c>
      <c r="F6" s="6">
        <v>9.5</v>
      </c>
      <c r="G6" s="7">
        <v>35.4</v>
      </c>
    </row>
    <row r="7" spans="1:7" x14ac:dyDescent="0.45">
      <c r="A7" s="8" t="s">
        <v>52</v>
      </c>
      <c r="B7" s="9">
        <v>3.7</v>
      </c>
      <c r="C7" s="9">
        <v>3.8</v>
      </c>
      <c r="D7" s="9">
        <v>4.4000000000000004</v>
      </c>
      <c r="E7" s="9">
        <v>5.2</v>
      </c>
      <c r="F7" s="9">
        <v>8.4</v>
      </c>
      <c r="G7" s="10">
        <v>25.5</v>
      </c>
    </row>
    <row r="8" spans="1:7" x14ac:dyDescent="0.45">
      <c r="A8" s="5" t="s">
        <v>53</v>
      </c>
      <c r="B8" s="6">
        <v>6.5</v>
      </c>
      <c r="C8" s="6">
        <v>5</v>
      </c>
      <c r="D8" s="6">
        <v>4.0999999999999996</v>
      </c>
      <c r="E8" s="6">
        <v>4.0999999999999996</v>
      </c>
      <c r="F8" s="6">
        <v>4</v>
      </c>
      <c r="G8" s="7">
        <v>23.7</v>
      </c>
    </row>
    <row r="9" spans="1:7" x14ac:dyDescent="0.45">
      <c r="A9" s="8" t="s">
        <v>54</v>
      </c>
      <c r="B9" s="9">
        <v>6</v>
      </c>
      <c r="C9" s="9">
        <v>5.6</v>
      </c>
      <c r="D9" s="9">
        <v>4.4000000000000004</v>
      </c>
      <c r="E9" s="9">
        <v>3.5</v>
      </c>
      <c r="F9" s="9">
        <v>2.9</v>
      </c>
      <c r="G9" s="10">
        <v>22.4</v>
      </c>
    </row>
    <row r="10" spans="1:7" x14ac:dyDescent="0.45">
      <c r="A10" s="5" t="s">
        <v>55</v>
      </c>
      <c r="B10" s="6">
        <v>4.9000000000000004</v>
      </c>
      <c r="C10" s="6">
        <v>4.5</v>
      </c>
      <c r="D10" s="6">
        <v>3.8</v>
      </c>
      <c r="E10" s="6">
        <v>3.3</v>
      </c>
      <c r="F10" s="6">
        <v>2.4</v>
      </c>
      <c r="G10" s="7">
        <v>18.899999999999999</v>
      </c>
    </row>
    <row r="11" spans="1:7" x14ac:dyDescent="0.45">
      <c r="A11" s="8" t="s">
        <v>56</v>
      </c>
      <c r="B11" s="9">
        <v>8.1</v>
      </c>
      <c r="C11" s="9">
        <v>9.3000000000000007</v>
      </c>
      <c r="D11" s="9">
        <v>0.1</v>
      </c>
      <c r="E11" s="9">
        <v>0.1</v>
      </c>
      <c r="F11" s="9">
        <v>0.1</v>
      </c>
      <c r="G11" s="10">
        <v>17.7</v>
      </c>
    </row>
    <row r="12" spans="1:7" x14ac:dyDescent="0.45">
      <c r="A12" s="5" t="s">
        <v>57</v>
      </c>
      <c r="B12" s="6">
        <v>3.4</v>
      </c>
      <c r="C12" s="6">
        <v>2.5</v>
      </c>
      <c r="D12" s="6">
        <v>3.2</v>
      </c>
      <c r="E12" s="6">
        <v>2</v>
      </c>
      <c r="F12" s="6">
        <v>2.9</v>
      </c>
      <c r="G12" s="7">
        <v>14</v>
      </c>
    </row>
    <row r="13" spans="1:7" x14ac:dyDescent="0.45">
      <c r="A13" s="8" t="s">
        <v>58</v>
      </c>
      <c r="B13" s="9">
        <v>4.8</v>
      </c>
      <c r="C13" s="9">
        <v>2.7</v>
      </c>
      <c r="D13" s="9">
        <v>1.8</v>
      </c>
      <c r="E13" s="9">
        <v>2.8</v>
      </c>
      <c r="F13" s="9">
        <v>1.6</v>
      </c>
      <c r="G13" s="10">
        <v>13.7</v>
      </c>
    </row>
    <row r="14" spans="1:7" x14ac:dyDescent="0.45">
      <c r="A14" s="5" t="s">
        <v>59</v>
      </c>
      <c r="B14" s="6">
        <v>6.7</v>
      </c>
      <c r="C14" s="6">
        <v>5.6</v>
      </c>
      <c r="D14" s="6">
        <v>0.1</v>
      </c>
      <c r="E14" s="6">
        <v>0.1</v>
      </c>
      <c r="F14" s="6">
        <v>0.1</v>
      </c>
      <c r="G14" s="7">
        <v>12.5</v>
      </c>
    </row>
    <row r="15" spans="1:7" x14ac:dyDescent="0.45">
      <c r="A15" s="8" t="s">
        <v>60</v>
      </c>
      <c r="B15" s="9">
        <v>2.6</v>
      </c>
      <c r="C15" s="9">
        <v>2.9</v>
      </c>
      <c r="D15" s="9">
        <v>2.1</v>
      </c>
      <c r="E15" s="9">
        <v>2</v>
      </c>
      <c r="F15" s="9">
        <v>2.6</v>
      </c>
      <c r="G15" s="10">
        <v>12.2</v>
      </c>
    </row>
    <row r="16" spans="1:7" x14ac:dyDescent="0.45">
      <c r="A16" s="5" t="s">
        <v>61</v>
      </c>
      <c r="B16" s="6">
        <v>1.9</v>
      </c>
      <c r="C16" s="6">
        <v>2.9</v>
      </c>
      <c r="D16" s="6">
        <v>1.4</v>
      </c>
      <c r="E16" s="6">
        <v>0.9</v>
      </c>
      <c r="F16" s="6">
        <v>1.5</v>
      </c>
      <c r="G16" s="7">
        <v>8.6</v>
      </c>
    </row>
    <row r="17" spans="1:7" x14ac:dyDescent="0.45">
      <c r="A17" s="8" t="s">
        <v>62</v>
      </c>
      <c r="B17" s="9">
        <v>1.4</v>
      </c>
      <c r="C17" s="9">
        <v>1.8</v>
      </c>
      <c r="D17" s="9">
        <v>1.7</v>
      </c>
      <c r="E17" s="9">
        <v>1.4</v>
      </c>
      <c r="F17" s="9">
        <v>0.5</v>
      </c>
      <c r="G17" s="10">
        <v>6.8</v>
      </c>
    </row>
    <row r="18" spans="1:7" x14ac:dyDescent="0.45">
      <c r="A18" s="5" t="s">
        <v>63</v>
      </c>
      <c r="B18" s="6">
        <v>1.1000000000000001</v>
      </c>
      <c r="C18" s="6">
        <v>1.6</v>
      </c>
      <c r="D18" s="6">
        <v>1.7</v>
      </c>
      <c r="E18" s="6">
        <v>1.1000000000000001</v>
      </c>
      <c r="F18" s="6">
        <v>0.7</v>
      </c>
      <c r="G18" s="7">
        <v>6.2</v>
      </c>
    </row>
    <row r="19" spans="1:7" x14ac:dyDescent="0.45">
      <c r="A19" s="8" t="s">
        <v>64</v>
      </c>
      <c r="B19" s="9">
        <v>1.4</v>
      </c>
      <c r="C19" s="9">
        <v>2.7</v>
      </c>
      <c r="D19" s="9">
        <v>3.5</v>
      </c>
      <c r="E19" s="9">
        <v>3.1</v>
      </c>
      <c r="F19" s="9">
        <v>3.1</v>
      </c>
      <c r="G19" s="10">
        <v>13.8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가게수</vt:lpstr>
      <vt:lpstr>인구수</vt:lpstr>
      <vt:lpstr>가게 생존율</vt:lpstr>
      <vt:lpstr>개업가게수</vt:lpstr>
      <vt:lpstr>폐업가게수</vt:lpstr>
      <vt:lpstr>연령대별 소비 스타일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Hyun Ko</cp:lastModifiedBy>
  <cp:revision/>
  <dcterms:created xsi:type="dcterms:W3CDTF">2024-11-28T07:41:08Z</dcterms:created>
  <dcterms:modified xsi:type="dcterms:W3CDTF">2025-01-13T01:48:42Z</dcterms:modified>
  <cp:category/>
  <cp:contentStatus/>
</cp:coreProperties>
</file>