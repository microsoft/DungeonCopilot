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2"/>
  <workbookPr/>
  <mc:AlternateContent xmlns:mc="http://schemas.openxmlformats.org/markup-compatibility/2006">
    <mc:Choice Requires="x15">
      <x15ac:absPath xmlns:x15ac="http://schemas.microsoft.com/office/spreadsheetml/2010/11/ac" url="https://microsoftapc-my.sharepoint.com/personal/nakyunglee_microsoft_com/Documents/Work/Microsoft 365 Copilot/롯데케미컬/"/>
    </mc:Choice>
  </mc:AlternateContent>
  <xr:revisionPtr revIDLastSave="5" documentId="8_{CD3D07F1-5C51-4BAA-90D4-F19EB678E0F6}" xr6:coauthVersionLast="47" xr6:coauthVersionMax="47" xr10:uidLastSave="{2E9C4232-C069-4B30-BB7F-4C32B512BA39}"/>
  <bookViews>
    <workbookView xWindow="1089" yWindow="1937" windowWidth="20562" windowHeight="13114" activeTab="7" xr2:uid="{00000000-000D-0000-FFFF-FFFF00000000}"/>
  </bookViews>
  <sheets>
    <sheet name="01_안내" sheetId="1" r:id="rId1"/>
    <sheet name="02_가게수" sheetId="3" r:id="rId2"/>
    <sheet name="03_인구수" sheetId="4" r:id="rId3"/>
    <sheet name="04_가게생존율" sheetId="5" r:id="rId4"/>
    <sheet name="05_개업가게수" sheetId="6" r:id="rId5"/>
    <sheet name="06_폐업가게수" sheetId="7" r:id="rId6"/>
    <sheet name="07_업종구조" sheetId="8" r:id="rId7"/>
    <sheet name="08_연령대별 소비스타일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8" l="1"/>
  <c r="C24" i="8" s="1"/>
  <c r="K23" i="8"/>
  <c r="C23" i="8"/>
  <c r="K22" i="8"/>
  <c r="C22" i="8"/>
  <c r="K21" i="8"/>
  <c r="C21" i="8"/>
  <c r="K20" i="8"/>
  <c r="C20" i="8"/>
  <c r="K19" i="8"/>
  <c r="C19" i="8"/>
  <c r="K18" i="8"/>
  <c r="C18" i="8"/>
  <c r="K17" i="8"/>
  <c r="C17" i="8"/>
  <c r="K16" i="8"/>
  <c r="C16" i="8"/>
  <c r="K15" i="8"/>
  <c r="C15" i="8"/>
  <c r="K14" i="8"/>
  <c r="C14" i="8"/>
  <c r="K13" i="8"/>
  <c r="C13" i="8"/>
  <c r="K12" i="8"/>
  <c r="C12" i="8"/>
  <c r="K11" i="8"/>
  <c r="C11" i="8"/>
  <c r="K10" i="8"/>
  <c r="C10" i="8"/>
  <c r="K9" i="8"/>
  <c r="C9" i="8"/>
  <c r="K8" i="8"/>
  <c r="C8" i="8"/>
  <c r="C7" i="8"/>
  <c r="K6" i="8"/>
  <c r="C6" i="8"/>
  <c r="K5" i="8"/>
  <c r="C5" i="8"/>
  <c r="F22" i="7"/>
  <c r="E22" i="7"/>
  <c r="F21" i="7"/>
  <c r="E21" i="7"/>
  <c r="F20" i="7"/>
  <c r="E20" i="7"/>
  <c r="F19" i="7"/>
  <c r="E19" i="7"/>
  <c r="F18" i="7"/>
  <c r="E18" i="7"/>
  <c r="F17" i="7"/>
  <c r="E17" i="7"/>
  <c r="F16" i="7"/>
  <c r="E16" i="7"/>
  <c r="F15" i="7"/>
  <c r="E15" i="7"/>
  <c r="F14" i="7"/>
  <c r="E14" i="7"/>
  <c r="F13" i="7"/>
  <c r="E13" i="7"/>
  <c r="F12" i="7"/>
  <c r="E12" i="7"/>
  <c r="F11" i="7"/>
  <c r="E11" i="7"/>
  <c r="F10" i="7"/>
  <c r="E10" i="7"/>
  <c r="F9" i="7"/>
  <c r="E9" i="7"/>
  <c r="F8" i="7"/>
  <c r="E8" i="7"/>
  <c r="F7" i="7"/>
  <c r="E7" i="7"/>
  <c r="F6" i="7"/>
  <c r="E6" i="7"/>
  <c r="F5" i="7"/>
  <c r="E5" i="7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I9" i="5"/>
  <c r="H9" i="5"/>
  <c r="G9" i="5"/>
  <c r="F9" i="5"/>
  <c r="E9" i="5"/>
  <c r="D9" i="5"/>
  <c r="C9" i="5"/>
  <c r="F10" i="4"/>
  <c r="E10" i="4"/>
  <c r="C10" i="4"/>
  <c r="B10" i="4"/>
  <c r="G9" i="4"/>
  <c r="D9" i="4"/>
  <c r="G8" i="4"/>
  <c r="D8" i="4"/>
  <c r="G7" i="4"/>
  <c r="D7" i="4"/>
  <c r="G6" i="4"/>
  <c r="D6" i="4"/>
  <c r="G5" i="4"/>
  <c r="D5" i="4"/>
  <c r="D10" i="3"/>
  <c r="C10" i="3"/>
  <c r="B10" i="3"/>
  <c r="H9" i="3"/>
  <c r="E9" i="3"/>
  <c r="H8" i="3"/>
  <c r="E8" i="3"/>
  <c r="H7" i="3"/>
  <c r="E7" i="3"/>
  <c r="H6" i="3"/>
  <c r="E6" i="3"/>
  <c r="H5" i="3"/>
  <c r="E5" i="3"/>
  <c r="G10" i="4" l="1"/>
  <c r="H7" i="4"/>
  <c r="D10" i="4"/>
  <c r="H9" i="4"/>
  <c r="H8" i="4"/>
  <c r="H10" i="4"/>
  <c r="H5" i="4"/>
  <c r="H6" i="4"/>
  <c r="H10" i="3"/>
  <c r="D14" i="3"/>
  <c r="D17" i="3"/>
  <c r="D16" i="3"/>
  <c r="D15" i="3"/>
  <c r="D13" i="3"/>
  <c r="E10" i="3"/>
  <c r="C16" i="3"/>
  <c r="C17" i="3"/>
  <c r="C13" i="3"/>
  <c r="C14" i="3"/>
  <c r="C15" i="3"/>
  <c r="B17" i="3"/>
  <c r="B13" i="3"/>
  <c r="B14" i="3"/>
  <c r="B15" i="3"/>
  <c r="B16" i="3"/>
  <c r="E17" i="3"/>
  <c r="F9" i="3"/>
  <c r="G9" i="3"/>
  <c r="G8" i="3"/>
  <c r="F8" i="3"/>
  <c r="E16" i="3"/>
  <c r="E15" i="3"/>
  <c r="G7" i="3"/>
  <c r="F7" i="3"/>
  <c r="E14" i="3"/>
  <c r="F6" i="3"/>
  <c r="G6" i="3"/>
  <c r="F5" i="3"/>
  <c r="G5" i="3"/>
  <c r="E13" i="3"/>
  <c r="F10" i="3" l="1"/>
  <c r="G10" i="3"/>
</calcChain>
</file>

<file path=xl/sharedStrings.xml><?xml version="1.0" encoding="utf-8"?>
<sst xmlns="http://schemas.openxmlformats.org/spreadsheetml/2006/main" count="246" uniqueCount="138">
  <si>
    <t>울산지역상권데이터</t>
  </si>
  <si>
    <t>작성일 2026-08-24 · 대상 울산광역시 5개 구·군(중구·남구·동구·북구·울주군)</t>
  </si>
  <si>
    <t>구성</t>
  </si>
  <si>
    <t>내용</t>
  </si>
  <si>
    <t>비고</t>
  </si>
  <si>
    <t>02_가게수</t>
  </si>
  <si>
    <t>5개 구·군 활동기업 수 (전체/도소매/숙박음식)</t>
  </si>
  <si>
    <t>2024년 · 파생지표 4종 포함</t>
  </si>
  <si>
    <t>03_인구수</t>
  </si>
  <si>
    <t>5개 구·군 주민등록 인구·세대</t>
  </si>
  <si>
    <t>2026년 7월</t>
  </si>
  <si>
    <t>04_가게생존율</t>
  </si>
  <si>
    <t>울산 신생기업 1~7년 생존율 + 전국 비교</t>
  </si>
  <si>
    <t>2022·2023 코호트 · 시도 단위</t>
  </si>
  <si>
    <t>05_개업가게수</t>
  </si>
  <si>
    <t>5개 구·군 × 3업종 신생기업 수·신생률</t>
  </si>
  <si>
    <t>2023·2024년</t>
  </si>
  <si>
    <t>06_폐업가게수</t>
  </si>
  <si>
    <t>5개 구·군 × 3업종 소멸기업 수·소멸률·활력도</t>
  </si>
  <si>
    <t>2023년</t>
  </si>
  <si>
    <t>07_업종구조</t>
  </si>
  <si>
    <t>19개 산업대분류 × 5개 구·군 활동기업 수</t>
  </si>
  <si>
    <t>2024년 · 업종 포트폴리오</t>
  </si>
  <si>
    <t>가게수 (활동기업 수, 2024년)</t>
  </si>
  <si>
    <t>출처: KOSIS 기업생멸행정통계 DT_6BD1132 · 단위: 개</t>
  </si>
  <si>
    <t>지역</t>
  </si>
  <si>
    <t>활동기업 전체</t>
  </si>
  <si>
    <t>도매 및 소매업</t>
  </si>
  <si>
    <t>숙박 및 음식점업</t>
  </si>
  <si>
    <t>생활밀착업종 계</t>
  </si>
  <si>
    <t>생활밀착 비중</t>
  </si>
  <si>
    <t>인구 1천명당 생활밀착점포</t>
  </si>
  <si>
    <t>숙박음식/도소매 비</t>
  </si>
  <si>
    <t>중구</t>
  </si>
  <si>
    <t>남구</t>
  </si>
  <si>
    <t>동구</t>
  </si>
  <si>
    <t>북구</t>
  </si>
  <si>
    <t>울주군</t>
  </si>
  <si>
    <t>울산광역시</t>
  </si>
  <si>
    <t>구·군 점유율</t>
  </si>
  <si>
    <t>활동기업 점유율</t>
  </si>
  <si>
    <t>도소매 점유율</t>
  </si>
  <si>
    <t>숙박음식 점유율</t>
  </si>
  <si>
    <t>생활밀착 점유율</t>
  </si>
  <si>
    <t>※ '숙박음식/도소매 비'가 1을 넘으면 소매보다 외식 업소가 많은 소비형 상권입니다.</t>
  </si>
  <si>
    <t>인구수</t>
  </si>
  <si>
    <t>출처: 행정안전부 주민등록 인구통계 2026년 7월 기준 · 단위: 명 / 세대</t>
  </si>
  <si>
    <t>총 인구수</t>
  </si>
  <si>
    <t>세대수</t>
  </si>
  <si>
    <t>세대당 인구</t>
  </si>
  <si>
    <t>남자</t>
  </si>
  <si>
    <t>여자</t>
  </si>
  <si>
    <t>남여 비율</t>
  </si>
  <si>
    <t>시 대비 비중</t>
  </si>
  <si>
    <t>※ 울산은 남여 비율이 1.06으로 전국 평균(0.99)보다 높습니다. 중공업 종사 남성 인구가 많은 산업도시 특성입니다.</t>
  </si>
  <si>
    <t>신생기업 생존율</t>
  </si>
  <si>
    <t>출처: KOSIS 기업생멸행정통계 DT_6BD1102 · 시도 단위만 공표되어 구·군별 값은 존재하지 않음</t>
  </si>
  <si>
    <t>기준연도</t>
  </si>
  <si>
    <t>1년 생존율</t>
  </si>
  <si>
    <t>2년</t>
  </si>
  <si>
    <t>3년</t>
  </si>
  <si>
    <t>4년</t>
  </si>
  <si>
    <t>5년</t>
  </si>
  <si>
    <t>6년</t>
  </si>
  <si>
    <t>7년</t>
  </si>
  <si>
    <t>2022</t>
  </si>
  <si>
    <t>2023</t>
  </si>
  <si>
    <t>전국</t>
  </si>
  <si>
    <t>울산 - 전국 격차</t>
  </si>
  <si>
    <t>※ 울산 신생기업은 1~7년 전 구간에서 전국 평균을 밑돕니다. 특히 5년 생존율 격차가 가장 큽니다.</t>
  </si>
  <si>
    <t>※ 신규 창업 시 3~5년차 자금 계획을 전국 기준보다 보수적으로 잡을 필요가 있습니다.</t>
  </si>
  <si>
    <t>개업가게수 (신생기업 수)</t>
  </si>
  <si>
    <t>업종</t>
  </si>
  <si>
    <t>2024년</t>
  </si>
  <si>
    <t>23→24 증감</t>
  </si>
  <si>
    <t>2023 신생률</t>
  </si>
  <si>
    <t>2024 신생률</t>
  </si>
  <si>
    <t>전체</t>
  </si>
  <si>
    <t>※ 울산 전체 신생기업은 2023년 16,692개에서 2024년 15,274개로 8.5% 감소했습니다. 신규 진입이 위축되는 국면입니다.</t>
  </si>
  <si>
    <t>폐업가게수 (소멸기업 수)</t>
  </si>
  <si>
    <t>출처: KOSIS 기업생멸행정통계 DT_6BD1132 · 소멸기업은 확정에 1년이 더 걸려 2024년은 미공표</t>
  </si>
  <si>
    <t>2023 소멸률</t>
  </si>
  <si>
    <t>2023 순증(신생-소멸)</t>
  </si>
  <si>
    <t>2023 활력도(신생률-소멸률)</t>
  </si>
  <si>
    <t>※ 활력도는 2023년 신생률 - 2023년 소멸률(동일 연도)입니다. (+)면 진입이 퇴출보다 활발한 확장 국면입니다.</t>
  </si>
  <si>
    <t>울산 업종구조 (산업대분류 19개 × 5개 구·군)</t>
  </si>
  <si>
    <t>활동기업 수는 2024년, 신생률·소멸률·활력도는 울산광역시 2023년 기준 · 단위: 개</t>
  </si>
  <si>
    <t>산업대분류</t>
  </si>
  <si>
    <t>울산 전체</t>
  </si>
  <si>
    <t>구성비</t>
  </si>
  <si>
    <t>울산 2023 신생률</t>
  </si>
  <si>
    <t>울산 2023 소멸률</t>
  </si>
  <si>
    <t>울산 2023 활력도</t>
  </si>
  <si>
    <t>농업, 임업 및 어업</t>
  </si>
  <si>
    <t>광업</t>
  </si>
  <si>
    <t>-</t>
  </si>
  <si>
    <t>제조업</t>
  </si>
  <si>
    <t>전기, 가스, 증기 및 공기조절 공급업</t>
  </si>
  <si>
    <t>수도, 하수 및 폐기물처리, 원료재생업</t>
  </si>
  <si>
    <t>건설업</t>
  </si>
  <si>
    <t>운수 및 창고업</t>
  </si>
  <si>
    <t>정보통신업</t>
  </si>
  <si>
    <t>금융 및 보험업</t>
  </si>
  <si>
    <t>부동산업</t>
  </si>
  <si>
    <t>전문과학기술서비스업</t>
  </si>
  <si>
    <t>사업시설관리, 사업지원 및 임대 서비스업</t>
  </si>
  <si>
    <t>교육서비스업</t>
  </si>
  <si>
    <t>보건업 및 사회복지 서비스업</t>
  </si>
  <si>
    <t>예술, 스포츠 및 여가관련 서비스업</t>
  </si>
  <si>
    <t>협회 및 단체, 수리 및 기타 개인서비스업</t>
  </si>
  <si>
    <t>구·군 합계 검증</t>
  </si>
  <si>
    <t>※ 노란 행은 상권 핵심 업종입니다. 울산은 제조업(10,108)·건설업(10,733)·운수창고업(13,993) 비중이 커 산업도시 구조가 뚜렷합니다.</t>
  </si>
  <si>
    <t>※ 활력도가 가장 낮은 업종은 도매·소매업(+0.5%p)과 숙박·음식점업(+1.5%p)으로, 상권 핵심 업종의 회전율이 높습니다.</t>
  </si>
  <si>
    <t>소비 스타일</t>
  </si>
  <si>
    <t>20대</t>
  </si>
  <si>
    <t>30대</t>
  </si>
  <si>
    <t>40대</t>
  </si>
  <si>
    <t>50대</t>
  </si>
  <si>
    <t>60대</t>
  </si>
  <si>
    <t>Total</t>
  </si>
  <si>
    <t>플렉스와 짠테크 소비 구분</t>
  </si>
  <si>
    <t>외식장소 찾을 때 무조건 SNS 검색</t>
  </si>
  <si>
    <t>음식점에서 대면보다 키오스크 등 비대면 선호</t>
  </si>
  <si>
    <t>재래시장의 핫한 메뉴 찾아 다니며 즐김</t>
  </si>
  <si>
    <t>음식점/카페는 맛 보다 독특한 경험이 중요</t>
  </si>
  <si>
    <t>채식, 대체육 등 외식 시 친환경 고려 및 실천</t>
  </si>
  <si>
    <t>콜라보레이션 상품에 관심이 높음</t>
  </si>
  <si>
    <t>외식 시 반드시 사진 촬영해 SNS 업로드</t>
  </si>
  <si>
    <t>취향에 맞는 2~3가지 주류·음료 직접 혼합해서 즐김</t>
  </si>
  <si>
    <t>파인다이닝도 가치가 있다면 타 지출 줄여서 방문</t>
  </si>
  <si>
    <t>식품, 음식, 주류 등의 정기 구독 서비스 이용</t>
  </si>
  <si>
    <t>SNS 핫플은 무조건 방문</t>
  </si>
  <si>
    <t>가고 싶은 음식점/카페는 오픈런이라도 방문</t>
  </si>
  <si>
    <t>전통주는 힙하다는 생각에 자주 즐김</t>
  </si>
  <si>
    <t>셀럽이 만들거나 이용하는 상품/음식에 관심 높음</t>
  </si>
  <si>
    <t>스탠딩 매장을 즐김</t>
  </si>
  <si>
    <t>도맥(도너츠+맥주) 즐김</t>
  </si>
  <si>
    <t>모두 해당사항 없음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</si>
</sst>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%"/>
    <numFmt numFmtId="177" formatCode="0.0"/>
    <numFmt numFmtId="178" formatCode="\+0.0%;\-0.0%;0.0%"/>
    <numFmt numFmtId="179" formatCode="#,##0;\(#,##0\);\-"/>
  </numFmts>
  <fonts count="11" x14ac:knownFonts="1">
    <font>
      <sz val="11"/>
      <color theme="1"/>
      <name val="맑은 고딕"/>
      <family val="2"/>
      <scheme val="minor"/>
    </font>
    <font>
      <b/>
      <sz val="13"/>
      <name val="Arial"/>
    </font>
    <font>
      <sz val="9"/>
      <color rgb="FF595959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10"/>
      <color rgb="FF0000FF"/>
      <name val="Arial"/>
    </font>
    <font>
      <i/>
      <sz val="9"/>
      <color rgb="FF808080"/>
      <name val="Arial"/>
    </font>
    <font>
      <sz val="8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AE0F2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3" fontId="6" fillId="0" borderId="1" xfId="0" applyNumberFormat="1" applyFont="1" applyBorder="1"/>
    <xf numFmtId="3" fontId="5" fillId="0" borderId="1" xfId="0" applyNumberFormat="1" applyFont="1" applyBorder="1"/>
    <xf numFmtId="176" fontId="5" fillId="0" borderId="1" xfId="0" applyNumberFormat="1" applyFont="1" applyBorder="1"/>
    <xf numFmtId="177" fontId="5" fillId="0" borderId="1" xfId="0" applyNumberFormat="1" applyFont="1" applyBorder="1"/>
    <xf numFmtId="2" fontId="5" fillId="0" borderId="1" xfId="0" applyNumberFormat="1" applyFont="1" applyBorder="1"/>
    <xf numFmtId="0" fontId="4" fillId="3" borderId="1" xfId="0" applyFont="1" applyFill="1" applyBorder="1"/>
    <xf numFmtId="3" fontId="4" fillId="3" borderId="1" xfId="0" applyNumberFormat="1" applyFont="1" applyFill="1" applyBorder="1"/>
    <xf numFmtId="176" fontId="4" fillId="3" borderId="1" xfId="0" applyNumberFormat="1" applyFont="1" applyFill="1" applyBorder="1"/>
    <xf numFmtId="177" fontId="4" fillId="3" borderId="1" xfId="0" applyNumberFormat="1" applyFont="1" applyFill="1" applyBorder="1"/>
    <xf numFmtId="2" fontId="4" fillId="3" borderId="1" xfId="0" applyNumberFormat="1" applyFont="1" applyFill="1" applyBorder="1"/>
    <xf numFmtId="0" fontId="5" fillId="0" borderId="1" xfId="0" applyFont="1" applyBorder="1"/>
    <xf numFmtId="0" fontId="7" fillId="0" borderId="0" xfId="0" applyFont="1"/>
    <xf numFmtId="0" fontId="4" fillId="4" borderId="1" xfId="0" applyFont="1" applyFill="1" applyBorder="1"/>
    <xf numFmtId="0" fontId="6" fillId="4" borderId="1" xfId="0" applyFont="1" applyFill="1" applyBorder="1" applyAlignment="1">
      <alignment horizontal="center" vertical="center"/>
    </xf>
    <xf numFmtId="176" fontId="6" fillId="4" borderId="1" xfId="0" applyNumberFormat="1" applyFont="1" applyFill="1" applyBorder="1"/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/>
    <xf numFmtId="0" fontId="5" fillId="0" borderId="1" xfId="0" applyFont="1" applyBorder="1" applyAlignment="1">
      <alignment horizontal="center" vertical="center"/>
    </xf>
    <xf numFmtId="178" fontId="5" fillId="0" borderId="1" xfId="0" applyNumberFormat="1" applyFont="1" applyBorder="1"/>
    <xf numFmtId="179" fontId="5" fillId="0" borderId="1" xfId="0" applyNumberFormat="1" applyFont="1" applyBorder="1"/>
    <xf numFmtId="0" fontId="5" fillId="4" borderId="1" xfId="0" applyFont="1" applyFill="1" applyBorder="1"/>
    <xf numFmtId="3" fontId="6" fillId="4" borderId="1" xfId="0" applyNumberFormat="1" applyFont="1" applyFill="1" applyBorder="1"/>
    <xf numFmtId="179" fontId="5" fillId="4" borderId="1" xfId="0" applyNumberFormat="1" applyFont="1" applyFill="1" applyBorder="1"/>
    <xf numFmtId="3" fontId="6" fillId="3" borderId="1" xfId="0" applyNumberFormat="1" applyFont="1" applyFill="1" applyBorder="1"/>
    <xf numFmtId="179" fontId="4" fillId="3" borderId="1" xfId="0" applyNumberFormat="1" applyFont="1" applyFill="1" applyBorder="1"/>
    <xf numFmtId="176" fontId="6" fillId="3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178" fontId="5" fillId="4" borderId="1" xfId="0" applyNumberFormat="1" applyFont="1" applyFill="1" applyBorder="1"/>
    <xf numFmtId="178" fontId="4" fillId="3" borderId="1" xfId="0" applyNumberFormat="1" applyFont="1" applyFill="1" applyBorder="1"/>
    <xf numFmtId="176" fontId="5" fillId="3" borderId="1" xfId="0" applyNumberFormat="1" applyFont="1" applyFill="1" applyBorder="1"/>
    <xf numFmtId="178" fontId="5" fillId="3" borderId="1" xfId="0" applyNumberFormat="1" applyFont="1" applyFill="1" applyBorder="1"/>
    <xf numFmtId="176" fontId="5" fillId="4" borderId="1" xfId="0" applyNumberFormat="1" applyFont="1" applyFill="1" applyBorder="1"/>
    <xf numFmtId="0" fontId="4" fillId="0" borderId="1" xfId="0" applyFont="1" applyBorder="1" applyAlignment="1">
      <alignment horizontal="center" vertical="center"/>
    </xf>
    <xf numFmtId="0" fontId="9" fillId="6" borderId="2" xfId="0" applyFont="1" applyFill="1" applyBorder="1"/>
    <xf numFmtId="0" fontId="9" fillId="6" borderId="3" xfId="0" applyFont="1" applyFill="1" applyBorder="1"/>
    <xf numFmtId="0" fontId="9" fillId="6" borderId="4" xfId="0" applyFont="1" applyFill="1" applyBorder="1"/>
    <xf numFmtId="0" fontId="10" fillId="7" borderId="2" xfId="0" applyFont="1" applyFill="1" applyBorder="1"/>
    <xf numFmtId="0" fontId="10" fillId="7" borderId="3" xfId="0" applyFont="1" applyFill="1" applyBorder="1"/>
    <xf numFmtId="0" fontId="10" fillId="7" borderId="4" xfId="0" applyFont="1" applyFill="1" applyBorder="1"/>
    <xf numFmtId="0" fontId="10" fillId="0" borderId="2" xfId="0" applyFont="1" applyBorder="1"/>
    <xf numFmtId="0" fontId="10" fillId="0" borderId="3" xfId="0" applyFont="1" applyBorder="1"/>
    <xf numFmtId="0" fontId="10" fillId="0" borderId="4" xfId="0" applyFont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showGridLines="0" workbookViewId="0">
      <pane ySplit="4" topLeftCell="A5" activePane="bottomLeft" state="frozen"/>
      <selection pane="bottomLeft" activeCell="C22" sqref="C22"/>
    </sheetView>
  </sheetViews>
  <sheetFormatPr defaultRowHeight="17.600000000000001" x14ac:dyDescent="0.55000000000000004"/>
  <cols>
    <col min="1" max="1" width="20" customWidth="1"/>
    <col min="2" max="2" width="56" customWidth="1"/>
    <col min="3" max="3" width="54" customWidth="1"/>
  </cols>
  <sheetData>
    <row r="1" spans="1:3" x14ac:dyDescent="0.55000000000000004">
      <c r="A1" s="1" t="s">
        <v>0</v>
      </c>
    </row>
    <row r="2" spans="1:3" x14ac:dyDescent="0.55000000000000004">
      <c r="A2" s="2" t="s">
        <v>1</v>
      </c>
    </row>
    <row r="4" spans="1:3" x14ac:dyDescent="0.55000000000000004">
      <c r="A4" s="3" t="s">
        <v>2</v>
      </c>
      <c r="B4" s="3" t="s">
        <v>3</v>
      </c>
      <c r="C4" s="3" t="s">
        <v>4</v>
      </c>
    </row>
    <row r="5" spans="1:3" x14ac:dyDescent="0.55000000000000004">
      <c r="A5" s="4" t="s">
        <v>5</v>
      </c>
      <c r="B5" s="5" t="s">
        <v>6</v>
      </c>
      <c r="C5" s="5" t="s">
        <v>7</v>
      </c>
    </row>
    <row r="6" spans="1:3" x14ac:dyDescent="0.55000000000000004">
      <c r="A6" s="4" t="s">
        <v>8</v>
      </c>
      <c r="B6" s="5" t="s">
        <v>9</v>
      </c>
      <c r="C6" s="5" t="s">
        <v>10</v>
      </c>
    </row>
    <row r="7" spans="1:3" x14ac:dyDescent="0.55000000000000004">
      <c r="A7" s="4" t="s">
        <v>11</v>
      </c>
      <c r="B7" s="5" t="s">
        <v>12</v>
      </c>
      <c r="C7" s="5" t="s">
        <v>13</v>
      </c>
    </row>
    <row r="8" spans="1:3" x14ac:dyDescent="0.55000000000000004">
      <c r="A8" s="4" t="s">
        <v>14</v>
      </c>
      <c r="B8" s="5" t="s">
        <v>15</v>
      </c>
      <c r="C8" s="5" t="s">
        <v>16</v>
      </c>
    </row>
    <row r="9" spans="1:3" x14ac:dyDescent="0.55000000000000004">
      <c r="A9" s="4" t="s">
        <v>17</v>
      </c>
      <c r="B9" s="5" t="s">
        <v>18</v>
      </c>
      <c r="C9" s="5" t="s">
        <v>19</v>
      </c>
    </row>
    <row r="10" spans="1:3" x14ac:dyDescent="0.55000000000000004">
      <c r="A10" s="4" t="s">
        <v>20</v>
      </c>
      <c r="B10" s="5" t="s">
        <v>21</v>
      </c>
      <c r="C10" s="5" t="s">
        <v>22</v>
      </c>
    </row>
    <row r="11" spans="1:3" x14ac:dyDescent="0.55000000000000004">
      <c r="A11" s="6"/>
      <c r="B11" s="6"/>
      <c r="C11" s="6"/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showGridLines="0" workbookViewId="0">
      <pane ySplit="4" topLeftCell="A5" activePane="bottomLeft" state="frozen"/>
      <selection pane="bottomLeft"/>
    </sheetView>
  </sheetViews>
  <sheetFormatPr defaultRowHeight="17.600000000000001" x14ac:dyDescent="0.55000000000000004"/>
  <cols>
    <col min="1" max="1" width="12" customWidth="1"/>
    <col min="2" max="5" width="16" customWidth="1"/>
    <col min="6" max="6" width="14" customWidth="1"/>
    <col min="7" max="7" width="20" customWidth="1"/>
    <col min="8" max="8" width="18" customWidth="1"/>
  </cols>
  <sheetData>
    <row r="1" spans="1:8" x14ac:dyDescent="0.55000000000000004">
      <c r="A1" s="1" t="s">
        <v>23</v>
      </c>
    </row>
    <row r="2" spans="1:8" x14ac:dyDescent="0.55000000000000004">
      <c r="A2" s="2" t="s">
        <v>24</v>
      </c>
    </row>
    <row r="4" spans="1:8" ht="24.9" x14ac:dyDescent="0.55000000000000004">
      <c r="A4" s="7" t="s">
        <v>25</v>
      </c>
      <c r="B4" s="7" t="s">
        <v>26</v>
      </c>
      <c r="C4" s="7" t="s">
        <v>27</v>
      </c>
      <c r="D4" s="7" t="s">
        <v>28</v>
      </c>
      <c r="E4" s="7" t="s">
        <v>29</v>
      </c>
      <c r="F4" s="7" t="s">
        <v>30</v>
      </c>
      <c r="G4" s="7" t="s">
        <v>31</v>
      </c>
      <c r="H4" s="7" t="s">
        <v>32</v>
      </c>
    </row>
    <row r="5" spans="1:8" x14ac:dyDescent="0.55000000000000004">
      <c r="A5" s="8" t="s">
        <v>33</v>
      </c>
      <c r="B5" s="9">
        <v>22967</v>
      </c>
      <c r="C5" s="9">
        <v>4967</v>
      </c>
      <c r="D5" s="9">
        <v>3450</v>
      </c>
      <c r="E5" s="10">
        <f t="shared" ref="E5:E10" si="0">C5+D5</f>
        <v>8417</v>
      </c>
      <c r="F5" s="11">
        <f t="shared" ref="F5:F10" si="1">IFERROR(E5/B5,0)</f>
        <v>0.36648234423303</v>
      </c>
      <c r="G5" s="12">
        <f>IFERROR(E5/('03_인구수'!B5/1000),0)</f>
        <v>41.499238252072004</v>
      </c>
      <c r="H5" s="13">
        <f t="shared" ref="H5:H10" si="2">IFERROR(D5/C5,0)</f>
        <v>0.69458425609019525</v>
      </c>
    </row>
    <row r="6" spans="1:8" x14ac:dyDescent="0.55000000000000004">
      <c r="A6" s="8" t="s">
        <v>34</v>
      </c>
      <c r="B6" s="9">
        <v>45936</v>
      </c>
      <c r="C6" s="9">
        <v>9117</v>
      </c>
      <c r="D6" s="9">
        <v>7383</v>
      </c>
      <c r="E6" s="10">
        <f t="shared" si="0"/>
        <v>16500</v>
      </c>
      <c r="F6" s="11">
        <f t="shared" si="1"/>
        <v>0.35919540229885055</v>
      </c>
      <c r="G6" s="12">
        <f>IFERROR(E6/('03_인구수'!B6/1000),0)</f>
        <v>54.201788330519221</v>
      </c>
      <c r="H6" s="13">
        <f t="shared" si="2"/>
        <v>0.80980585718986509</v>
      </c>
    </row>
    <row r="7" spans="1:8" x14ac:dyDescent="0.55000000000000004">
      <c r="A7" s="8" t="s">
        <v>35</v>
      </c>
      <c r="B7" s="9">
        <v>12691</v>
      </c>
      <c r="C7" s="9">
        <v>2508</v>
      </c>
      <c r="D7" s="9">
        <v>2746</v>
      </c>
      <c r="E7" s="10">
        <f t="shared" si="0"/>
        <v>5254</v>
      </c>
      <c r="F7" s="11">
        <f t="shared" si="1"/>
        <v>0.4139941690962099</v>
      </c>
      <c r="G7" s="12">
        <f>IFERROR(E7/('03_인구수'!B7/1000),0)</f>
        <v>35.588249239668635</v>
      </c>
      <c r="H7" s="13">
        <f t="shared" si="2"/>
        <v>1.094896331738437</v>
      </c>
    </row>
    <row r="8" spans="1:8" x14ac:dyDescent="0.55000000000000004">
      <c r="A8" s="8" t="s">
        <v>36</v>
      </c>
      <c r="B8" s="9">
        <v>22393</v>
      </c>
      <c r="C8" s="9">
        <v>4424</v>
      </c>
      <c r="D8" s="9">
        <v>3310</v>
      </c>
      <c r="E8" s="10">
        <f t="shared" si="0"/>
        <v>7734</v>
      </c>
      <c r="F8" s="11">
        <f t="shared" si="1"/>
        <v>0.3453757870763185</v>
      </c>
      <c r="G8" s="12">
        <f>IFERROR(E8/('03_인구수'!B8/1000),0)</f>
        <v>36.222788414702684</v>
      </c>
      <c r="H8" s="13">
        <f t="shared" si="2"/>
        <v>0.74819168173598549</v>
      </c>
    </row>
    <row r="9" spans="1:8" x14ac:dyDescent="0.55000000000000004">
      <c r="A9" s="8" t="s">
        <v>37</v>
      </c>
      <c r="B9" s="9">
        <v>30679</v>
      </c>
      <c r="C9" s="9">
        <v>5079</v>
      </c>
      <c r="D9" s="9">
        <v>4467</v>
      </c>
      <c r="E9" s="10">
        <f t="shared" si="0"/>
        <v>9546</v>
      </c>
      <c r="F9" s="11">
        <f t="shared" si="1"/>
        <v>0.31115746927865967</v>
      </c>
      <c r="G9" s="12">
        <f>IFERROR(E9/('03_인구수'!B9/1000),0)</f>
        <v>43.714795988459954</v>
      </c>
      <c r="H9" s="13">
        <f t="shared" si="2"/>
        <v>0.87950383933845244</v>
      </c>
    </row>
    <row r="10" spans="1:8" x14ac:dyDescent="0.55000000000000004">
      <c r="A10" s="14" t="s">
        <v>38</v>
      </c>
      <c r="B10" s="15">
        <f>SUM(B5:B9)</f>
        <v>134666</v>
      </c>
      <c r="C10" s="15">
        <f>SUM(C5:C9)</f>
        <v>26095</v>
      </c>
      <c r="D10" s="15">
        <f>SUM(D5:D9)</f>
        <v>21356</v>
      </c>
      <c r="E10" s="15">
        <f t="shared" si="0"/>
        <v>47451</v>
      </c>
      <c r="F10" s="16">
        <f t="shared" si="1"/>
        <v>0.3523606552507686</v>
      </c>
      <c r="G10" s="17">
        <f>IFERROR(E10/('03_인구수'!B10/1000),0)</f>
        <v>43.662974945617961</v>
      </c>
      <c r="H10" s="18">
        <f t="shared" si="2"/>
        <v>0.81839432841540527</v>
      </c>
    </row>
    <row r="11" spans="1:8" x14ac:dyDescent="0.55000000000000004">
      <c r="A11" s="8" t="s">
        <v>39</v>
      </c>
    </row>
    <row r="12" spans="1:8" x14ac:dyDescent="0.55000000000000004">
      <c r="A12" s="7" t="s">
        <v>25</v>
      </c>
      <c r="B12" s="7" t="s">
        <v>40</v>
      </c>
      <c r="C12" s="7" t="s">
        <v>41</v>
      </c>
      <c r="D12" s="7" t="s">
        <v>42</v>
      </c>
      <c r="E12" s="7" t="s">
        <v>43</v>
      </c>
      <c r="F12" s="7"/>
      <c r="G12" s="7"/>
      <c r="H12" s="7"/>
    </row>
    <row r="13" spans="1:8" x14ac:dyDescent="0.55000000000000004">
      <c r="A13" s="8" t="s">
        <v>33</v>
      </c>
      <c r="B13" s="11">
        <f t="shared" ref="B13:E17" si="3">IFERROR(B5/B$10,0)</f>
        <v>0.17054787399937624</v>
      </c>
      <c r="C13" s="11">
        <f t="shared" si="3"/>
        <v>0.19034297758191224</v>
      </c>
      <c r="D13" s="11">
        <f t="shared" si="3"/>
        <v>0.16154710619966287</v>
      </c>
      <c r="E13" s="11">
        <f t="shared" si="3"/>
        <v>0.17738298455248572</v>
      </c>
      <c r="F13" s="19"/>
      <c r="G13" s="19"/>
      <c r="H13" s="19"/>
    </row>
    <row r="14" spans="1:8" x14ac:dyDescent="0.55000000000000004">
      <c r="A14" s="8" t="s">
        <v>34</v>
      </c>
      <c r="B14" s="11">
        <f t="shared" si="3"/>
        <v>0.34111059955742357</v>
      </c>
      <c r="C14" s="11">
        <f t="shared" si="3"/>
        <v>0.34937727534010349</v>
      </c>
      <c r="D14" s="11">
        <f t="shared" si="3"/>
        <v>0.34571080726727854</v>
      </c>
      <c r="E14" s="11">
        <f t="shared" si="3"/>
        <v>0.34772712903837644</v>
      </c>
      <c r="F14" s="19"/>
      <c r="G14" s="19"/>
      <c r="H14" s="19"/>
    </row>
    <row r="15" spans="1:8" x14ac:dyDescent="0.55000000000000004">
      <c r="A15" s="8" t="s">
        <v>35</v>
      </c>
      <c r="B15" s="11">
        <f t="shared" si="3"/>
        <v>9.4240565547354188E-2</v>
      </c>
      <c r="C15" s="11">
        <f t="shared" si="3"/>
        <v>9.6110365970492426E-2</v>
      </c>
      <c r="D15" s="11">
        <f t="shared" si="3"/>
        <v>0.12858213148529687</v>
      </c>
      <c r="E15" s="11">
        <f t="shared" si="3"/>
        <v>0.11072474763440181</v>
      </c>
      <c r="F15" s="19"/>
      <c r="G15" s="19"/>
      <c r="H15" s="19"/>
    </row>
    <row r="16" spans="1:8" x14ac:dyDescent="0.55000000000000004">
      <c r="A16" s="8" t="s">
        <v>36</v>
      </c>
      <c r="B16" s="11">
        <f t="shared" si="3"/>
        <v>0.16628547666077556</v>
      </c>
      <c r="C16" s="11">
        <f t="shared" si="3"/>
        <v>0.16953439356198505</v>
      </c>
      <c r="D16" s="11">
        <f t="shared" si="3"/>
        <v>0.15499157145532871</v>
      </c>
      <c r="E16" s="11">
        <f t="shared" si="3"/>
        <v>0.16298918884744262</v>
      </c>
      <c r="F16" s="19"/>
      <c r="G16" s="19"/>
      <c r="H16" s="19"/>
    </row>
    <row r="17" spans="1:8" x14ac:dyDescent="0.55000000000000004">
      <c r="A17" s="8" t="s">
        <v>37</v>
      </c>
      <c r="B17" s="11">
        <f t="shared" si="3"/>
        <v>0.22781548423507048</v>
      </c>
      <c r="C17" s="11">
        <f t="shared" si="3"/>
        <v>0.19463498754550682</v>
      </c>
      <c r="D17" s="11">
        <f t="shared" si="3"/>
        <v>0.20916838359243303</v>
      </c>
      <c r="E17" s="11">
        <f t="shared" si="3"/>
        <v>0.20117594992729343</v>
      </c>
      <c r="F17" s="19"/>
      <c r="G17" s="19"/>
      <c r="H17" s="19"/>
    </row>
    <row r="19" spans="1:8" x14ac:dyDescent="0.55000000000000004">
      <c r="A19" s="20" t="s">
        <v>44</v>
      </c>
    </row>
  </sheetData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showGridLines="0" workbookViewId="0">
      <pane ySplit="4" topLeftCell="A5" activePane="bottomLeft" state="frozen"/>
      <selection pane="bottomLeft"/>
    </sheetView>
  </sheetViews>
  <sheetFormatPr defaultRowHeight="17.600000000000001" x14ac:dyDescent="0.55000000000000004"/>
  <cols>
    <col min="1" max="1" width="12" customWidth="1"/>
    <col min="2" max="3" width="14" customWidth="1"/>
    <col min="4" max="4" width="12" customWidth="1"/>
    <col min="5" max="6" width="14" customWidth="1"/>
    <col min="7" max="7" width="12" customWidth="1"/>
    <col min="8" max="8" width="16" customWidth="1"/>
  </cols>
  <sheetData>
    <row r="1" spans="1:8" x14ac:dyDescent="0.55000000000000004">
      <c r="A1" s="1" t="s">
        <v>45</v>
      </c>
    </row>
    <row r="2" spans="1:8" x14ac:dyDescent="0.55000000000000004">
      <c r="A2" s="2" t="s">
        <v>46</v>
      </c>
    </row>
    <row r="4" spans="1:8" x14ac:dyDescent="0.55000000000000004">
      <c r="A4" s="7" t="s">
        <v>25</v>
      </c>
      <c r="B4" s="7" t="s">
        <v>47</v>
      </c>
      <c r="C4" s="7" t="s">
        <v>48</v>
      </c>
      <c r="D4" s="7" t="s">
        <v>49</v>
      </c>
      <c r="E4" s="7" t="s">
        <v>50</v>
      </c>
      <c r="F4" s="7" t="s">
        <v>51</v>
      </c>
      <c r="G4" s="7" t="s">
        <v>52</v>
      </c>
      <c r="H4" s="7" t="s">
        <v>53</v>
      </c>
    </row>
    <row r="5" spans="1:8" x14ac:dyDescent="0.55000000000000004">
      <c r="A5" s="8" t="s">
        <v>33</v>
      </c>
      <c r="B5" s="9">
        <v>202823</v>
      </c>
      <c r="C5" s="9">
        <v>95161</v>
      </c>
      <c r="D5" s="13">
        <f t="shared" ref="D5:D10" si="0">IFERROR(B5/C5,0)</f>
        <v>2.1313668414581604</v>
      </c>
      <c r="E5" s="9">
        <v>102466</v>
      </c>
      <c r="F5" s="9">
        <v>100357</v>
      </c>
      <c r="G5" s="13">
        <f t="shared" ref="G5:G10" si="1">IFERROR(E5/F5,0)</f>
        <v>1.0210149765337744</v>
      </c>
      <c r="H5" s="11">
        <f t="shared" ref="H5:H10" si="2">IFERROR(B5/$B$10,0)</f>
        <v>0.1866315897956855</v>
      </c>
    </row>
    <row r="6" spans="1:8" x14ac:dyDescent="0.55000000000000004">
      <c r="A6" s="8" t="s">
        <v>34</v>
      </c>
      <c r="B6" s="9">
        <v>304418</v>
      </c>
      <c r="C6" s="9">
        <v>144188</v>
      </c>
      <c r="D6" s="13">
        <f t="shared" si="0"/>
        <v>2.1112575248980496</v>
      </c>
      <c r="E6" s="9">
        <v>155903</v>
      </c>
      <c r="F6" s="9">
        <v>148515</v>
      </c>
      <c r="G6" s="13">
        <f t="shared" si="1"/>
        <v>1.0497458169208498</v>
      </c>
      <c r="H6" s="11">
        <f t="shared" si="2"/>
        <v>0.28011623584318834</v>
      </c>
    </row>
    <row r="7" spans="1:8" x14ac:dyDescent="0.55000000000000004">
      <c r="A7" s="8" t="s">
        <v>35</v>
      </c>
      <c r="B7" s="9">
        <v>147633</v>
      </c>
      <c r="C7" s="9">
        <v>68499</v>
      </c>
      <c r="D7" s="13">
        <f t="shared" si="0"/>
        <v>2.1552577409889198</v>
      </c>
      <c r="E7" s="9">
        <v>77339</v>
      </c>
      <c r="F7" s="9">
        <v>70294</v>
      </c>
      <c r="G7" s="13">
        <f t="shared" si="1"/>
        <v>1.1002219250576151</v>
      </c>
      <c r="H7" s="11">
        <f t="shared" si="2"/>
        <v>0.13584742113225048</v>
      </c>
    </row>
    <row r="8" spans="1:8" x14ac:dyDescent="0.55000000000000004">
      <c r="A8" s="8" t="s">
        <v>36</v>
      </c>
      <c r="B8" s="9">
        <v>213512</v>
      </c>
      <c r="C8" s="9">
        <v>90458</v>
      </c>
      <c r="D8" s="13">
        <f t="shared" si="0"/>
        <v>2.3603440270622831</v>
      </c>
      <c r="E8" s="9">
        <v>111207</v>
      </c>
      <c r="F8" s="9">
        <v>102305</v>
      </c>
      <c r="G8" s="13">
        <f t="shared" si="1"/>
        <v>1.0870143199257123</v>
      </c>
      <c r="H8" s="11">
        <f t="shared" si="2"/>
        <v>0.19646728428460483</v>
      </c>
    </row>
    <row r="9" spans="1:8" x14ac:dyDescent="0.55000000000000004">
      <c r="A9" s="8" t="s">
        <v>37</v>
      </c>
      <c r="B9" s="9">
        <v>218370</v>
      </c>
      <c r="C9" s="9">
        <v>103631</v>
      </c>
      <c r="D9" s="13">
        <f t="shared" si="0"/>
        <v>2.1071880035896595</v>
      </c>
      <c r="E9" s="9">
        <v>113375</v>
      </c>
      <c r="F9" s="9">
        <v>104995</v>
      </c>
      <c r="G9" s="13">
        <f t="shared" si="1"/>
        <v>1.0798133244440211</v>
      </c>
      <c r="H9" s="11">
        <f t="shared" si="2"/>
        <v>0.20093746894427084</v>
      </c>
    </row>
    <row r="10" spans="1:8" x14ac:dyDescent="0.55000000000000004">
      <c r="A10" s="14" t="s">
        <v>38</v>
      </c>
      <c r="B10" s="15">
        <f>SUM(B5:B9)</f>
        <v>1086756</v>
      </c>
      <c r="C10" s="15">
        <f>SUM(C5:C9)</f>
        <v>501937</v>
      </c>
      <c r="D10" s="18">
        <f t="shared" si="0"/>
        <v>2.1651243084291454</v>
      </c>
      <c r="E10" s="15">
        <f>SUM(E5:E9)</f>
        <v>560290</v>
      </c>
      <c r="F10" s="15">
        <f>SUM(F5:F9)</f>
        <v>526466</v>
      </c>
      <c r="G10" s="18">
        <f t="shared" si="1"/>
        <v>1.0642472638309026</v>
      </c>
      <c r="H10" s="16">
        <f t="shared" si="2"/>
        <v>1</v>
      </c>
    </row>
    <row r="12" spans="1:8" x14ac:dyDescent="0.55000000000000004">
      <c r="A12" s="20" t="s">
        <v>54</v>
      </c>
    </row>
  </sheetData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"/>
  <sheetViews>
    <sheetView showGridLines="0" workbookViewId="0">
      <pane ySplit="4" topLeftCell="A5" activePane="bottomLeft" state="frozen"/>
      <selection pane="bottomLeft"/>
    </sheetView>
  </sheetViews>
  <sheetFormatPr defaultRowHeight="17.600000000000001" x14ac:dyDescent="0.55000000000000004"/>
  <cols>
    <col min="1" max="1" width="18" customWidth="1"/>
    <col min="2" max="2" width="12" customWidth="1"/>
    <col min="3" max="9" width="11" customWidth="1"/>
  </cols>
  <sheetData>
    <row r="1" spans="1:9" x14ac:dyDescent="0.55000000000000004">
      <c r="A1" s="1" t="s">
        <v>55</v>
      </c>
    </row>
    <row r="2" spans="1:9" x14ac:dyDescent="0.55000000000000004">
      <c r="A2" s="2" t="s">
        <v>56</v>
      </c>
    </row>
    <row r="4" spans="1:9" x14ac:dyDescent="0.55000000000000004">
      <c r="A4" s="7" t="s">
        <v>25</v>
      </c>
      <c r="B4" s="7" t="s">
        <v>57</v>
      </c>
      <c r="C4" s="7" t="s">
        <v>58</v>
      </c>
      <c r="D4" s="7" t="s">
        <v>59</v>
      </c>
      <c r="E4" s="7" t="s">
        <v>60</v>
      </c>
      <c r="F4" s="7" t="s">
        <v>61</v>
      </c>
      <c r="G4" s="7" t="s">
        <v>62</v>
      </c>
      <c r="H4" s="7" t="s">
        <v>63</v>
      </c>
      <c r="I4" s="7" t="s">
        <v>64</v>
      </c>
    </row>
    <row r="5" spans="1:9" x14ac:dyDescent="0.55000000000000004">
      <c r="A5" s="21" t="s">
        <v>38</v>
      </c>
      <c r="B5" s="22" t="s">
        <v>65</v>
      </c>
      <c r="C5" s="23">
        <v>0.64500000000000002</v>
      </c>
      <c r="D5" s="23">
        <v>0.51600000000000001</v>
      </c>
      <c r="E5" s="23">
        <v>0.44299999999999989</v>
      </c>
      <c r="F5" s="23">
        <v>0.374</v>
      </c>
      <c r="G5" s="23">
        <v>0.313</v>
      </c>
      <c r="H5" s="23">
        <v>0.28199999999999997</v>
      </c>
      <c r="I5" s="23">
        <v>0.246</v>
      </c>
    </row>
    <row r="6" spans="1:9" x14ac:dyDescent="0.55000000000000004">
      <c r="A6" s="21" t="s">
        <v>38</v>
      </c>
      <c r="B6" s="22" t="s">
        <v>66</v>
      </c>
      <c r="C6" s="23">
        <v>0.63600000000000001</v>
      </c>
      <c r="D6" s="23">
        <v>0.53200000000000003</v>
      </c>
      <c r="E6" s="23">
        <v>0.43700000000000011</v>
      </c>
      <c r="F6" s="23">
        <v>0.38100000000000001</v>
      </c>
      <c r="G6" s="23">
        <v>0.33100000000000002</v>
      </c>
      <c r="H6" s="23">
        <v>0.28199999999999997</v>
      </c>
      <c r="I6" s="23">
        <v>0.255</v>
      </c>
    </row>
    <row r="7" spans="1:9" x14ac:dyDescent="0.55000000000000004">
      <c r="A7" s="8" t="s">
        <v>67</v>
      </c>
      <c r="B7" s="24" t="s">
        <v>65</v>
      </c>
      <c r="C7" s="25">
        <v>0.64900000000000002</v>
      </c>
      <c r="D7" s="25">
        <v>0.53600000000000003</v>
      </c>
      <c r="E7" s="25">
        <v>0.46899999999999997</v>
      </c>
      <c r="F7" s="25">
        <v>0.41</v>
      </c>
      <c r="G7" s="25">
        <v>0.34799999999999998</v>
      </c>
      <c r="H7" s="25">
        <v>0.31</v>
      </c>
      <c r="I7" s="25">
        <v>0.27800000000000002</v>
      </c>
    </row>
    <row r="8" spans="1:9" x14ac:dyDescent="0.55000000000000004">
      <c r="A8" s="8" t="s">
        <v>67</v>
      </c>
      <c r="B8" s="24" t="s">
        <v>66</v>
      </c>
      <c r="C8" s="25">
        <v>0.64400000000000002</v>
      </c>
      <c r="D8" s="25">
        <v>0.54</v>
      </c>
      <c r="E8" s="25">
        <v>0.45900000000000002</v>
      </c>
      <c r="F8" s="25">
        <v>0.41</v>
      </c>
      <c r="G8" s="25">
        <v>0.36399999999999999</v>
      </c>
      <c r="H8" s="25">
        <v>0.313</v>
      </c>
      <c r="I8" s="25">
        <v>0.28199999999999997</v>
      </c>
    </row>
    <row r="9" spans="1:9" x14ac:dyDescent="0.55000000000000004">
      <c r="A9" s="8" t="s">
        <v>68</v>
      </c>
      <c r="B9" s="26" t="s">
        <v>66</v>
      </c>
      <c r="C9" s="27">
        <f t="shared" ref="C9:I9" si="0">C6-C8</f>
        <v>-8.0000000000000071E-3</v>
      </c>
      <c r="D9" s="27">
        <f t="shared" si="0"/>
        <v>-8.0000000000000071E-3</v>
      </c>
      <c r="E9" s="27">
        <f t="shared" si="0"/>
        <v>-2.1999999999999909E-2</v>
      </c>
      <c r="F9" s="27">
        <f t="shared" si="0"/>
        <v>-2.899999999999997E-2</v>
      </c>
      <c r="G9" s="27">
        <f t="shared" si="0"/>
        <v>-3.2999999999999974E-2</v>
      </c>
      <c r="H9" s="27">
        <f t="shared" si="0"/>
        <v>-3.1000000000000028E-2</v>
      </c>
      <c r="I9" s="27">
        <f t="shared" si="0"/>
        <v>-2.6999999999999968E-2</v>
      </c>
    </row>
    <row r="11" spans="1:9" x14ac:dyDescent="0.55000000000000004">
      <c r="A11" s="20" t="s">
        <v>69</v>
      </c>
    </row>
    <row r="12" spans="1:9" x14ac:dyDescent="0.55000000000000004">
      <c r="A12" s="20" t="s">
        <v>70</v>
      </c>
    </row>
  </sheetData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showGridLines="0" workbookViewId="0">
      <pane ySplit="4" topLeftCell="A5" activePane="bottomLeft" state="frozen"/>
      <selection pane="bottomLeft"/>
    </sheetView>
  </sheetViews>
  <sheetFormatPr defaultRowHeight="17.600000000000001" x14ac:dyDescent="0.55000000000000004"/>
  <cols>
    <col min="1" max="1" width="12" customWidth="1"/>
    <col min="2" max="2" width="20" customWidth="1"/>
    <col min="3" max="7" width="14" customWidth="1"/>
  </cols>
  <sheetData>
    <row r="1" spans="1:7" x14ac:dyDescent="0.55000000000000004">
      <c r="A1" s="1" t="s">
        <v>71</v>
      </c>
    </row>
    <row r="2" spans="1:7" x14ac:dyDescent="0.55000000000000004">
      <c r="A2" s="2" t="s">
        <v>24</v>
      </c>
    </row>
    <row r="4" spans="1:7" x14ac:dyDescent="0.55000000000000004">
      <c r="A4" s="7" t="s">
        <v>25</v>
      </c>
      <c r="B4" s="7" t="s">
        <v>72</v>
      </c>
      <c r="C4" s="7" t="s">
        <v>19</v>
      </c>
      <c r="D4" s="7" t="s">
        <v>73</v>
      </c>
      <c r="E4" s="7" t="s">
        <v>74</v>
      </c>
      <c r="F4" s="7" t="s">
        <v>75</v>
      </c>
      <c r="G4" s="7" t="s">
        <v>76</v>
      </c>
    </row>
    <row r="5" spans="1:7" x14ac:dyDescent="0.55000000000000004">
      <c r="A5" s="8" t="s">
        <v>33</v>
      </c>
      <c r="B5" s="19" t="s">
        <v>77</v>
      </c>
      <c r="C5" s="9">
        <v>2720</v>
      </c>
      <c r="D5" s="9">
        <v>2512</v>
      </c>
      <c r="E5" s="28">
        <f t="shared" ref="E5:E22" si="0">D5-C5</f>
        <v>-208</v>
      </c>
      <c r="F5" s="25">
        <v>0.11799999999999999</v>
      </c>
      <c r="G5" s="25">
        <v>0.109</v>
      </c>
    </row>
    <row r="6" spans="1:7" x14ac:dyDescent="0.55000000000000004">
      <c r="A6" s="29" t="s">
        <v>33</v>
      </c>
      <c r="B6" s="29" t="s">
        <v>27</v>
      </c>
      <c r="C6" s="30">
        <v>644</v>
      </c>
      <c r="D6" s="30">
        <v>561</v>
      </c>
      <c r="E6" s="31">
        <f t="shared" si="0"/>
        <v>-83</v>
      </c>
      <c r="F6" s="23">
        <v>0.126</v>
      </c>
      <c r="G6" s="23">
        <v>0.113</v>
      </c>
    </row>
    <row r="7" spans="1:7" x14ac:dyDescent="0.55000000000000004">
      <c r="A7" s="29" t="s">
        <v>33</v>
      </c>
      <c r="B7" s="29" t="s">
        <v>28</v>
      </c>
      <c r="C7" s="30">
        <v>558</v>
      </c>
      <c r="D7" s="30">
        <v>515</v>
      </c>
      <c r="E7" s="31">
        <f t="shared" si="0"/>
        <v>-43</v>
      </c>
      <c r="F7" s="23">
        <v>0.159</v>
      </c>
      <c r="G7" s="23">
        <v>0.14899999999999999</v>
      </c>
    </row>
    <row r="8" spans="1:7" x14ac:dyDescent="0.55000000000000004">
      <c r="A8" s="8" t="s">
        <v>34</v>
      </c>
      <c r="B8" s="19" t="s">
        <v>77</v>
      </c>
      <c r="C8" s="9">
        <v>5488</v>
      </c>
      <c r="D8" s="9">
        <v>5004</v>
      </c>
      <c r="E8" s="28">
        <f t="shared" si="0"/>
        <v>-484</v>
      </c>
      <c r="F8" s="25">
        <v>0.11899999999999999</v>
      </c>
      <c r="G8" s="25">
        <v>0.109</v>
      </c>
    </row>
    <row r="9" spans="1:7" x14ac:dyDescent="0.55000000000000004">
      <c r="A9" s="29" t="s">
        <v>34</v>
      </c>
      <c r="B9" s="29" t="s">
        <v>27</v>
      </c>
      <c r="C9" s="30">
        <v>1264</v>
      </c>
      <c r="D9" s="30">
        <v>1046</v>
      </c>
      <c r="E9" s="31">
        <f t="shared" si="0"/>
        <v>-218</v>
      </c>
      <c r="F9" s="23">
        <v>0.13400000000000001</v>
      </c>
      <c r="G9" s="23">
        <v>0.115</v>
      </c>
    </row>
    <row r="10" spans="1:7" x14ac:dyDescent="0.55000000000000004">
      <c r="A10" s="29" t="s">
        <v>34</v>
      </c>
      <c r="B10" s="29" t="s">
        <v>28</v>
      </c>
      <c r="C10" s="30">
        <v>1276</v>
      </c>
      <c r="D10" s="30">
        <v>1107</v>
      </c>
      <c r="E10" s="31">
        <f t="shared" si="0"/>
        <v>-169</v>
      </c>
      <c r="F10" s="23">
        <v>0.16800000000000001</v>
      </c>
      <c r="G10" s="23">
        <v>0.15</v>
      </c>
    </row>
    <row r="11" spans="1:7" x14ac:dyDescent="0.55000000000000004">
      <c r="A11" s="8" t="s">
        <v>35</v>
      </c>
      <c r="B11" s="19" t="s">
        <v>77</v>
      </c>
      <c r="C11" s="9">
        <v>1938</v>
      </c>
      <c r="D11" s="9">
        <v>1753</v>
      </c>
      <c r="E11" s="28">
        <f t="shared" si="0"/>
        <v>-185</v>
      </c>
      <c r="F11" s="25">
        <v>0.153</v>
      </c>
      <c r="G11" s="25">
        <v>0.13800000000000001</v>
      </c>
    </row>
    <row r="12" spans="1:7" x14ac:dyDescent="0.55000000000000004">
      <c r="A12" s="29" t="s">
        <v>35</v>
      </c>
      <c r="B12" s="29" t="s">
        <v>27</v>
      </c>
      <c r="C12" s="30">
        <v>394</v>
      </c>
      <c r="D12" s="30">
        <v>361</v>
      </c>
      <c r="E12" s="31">
        <f t="shared" si="0"/>
        <v>-33</v>
      </c>
      <c r="F12" s="23">
        <v>0.153</v>
      </c>
      <c r="G12" s="23">
        <v>0.14399999999999999</v>
      </c>
    </row>
    <row r="13" spans="1:7" x14ac:dyDescent="0.55000000000000004">
      <c r="A13" s="29" t="s">
        <v>35</v>
      </c>
      <c r="B13" s="29" t="s">
        <v>28</v>
      </c>
      <c r="C13" s="30">
        <v>414</v>
      </c>
      <c r="D13" s="30">
        <v>390</v>
      </c>
      <c r="E13" s="31">
        <f t="shared" si="0"/>
        <v>-24</v>
      </c>
      <c r="F13" s="23">
        <v>0.14899999999999999</v>
      </c>
      <c r="G13" s="23">
        <v>0.14199999999999999</v>
      </c>
    </row>
    <row r="14" spans="1:7" x14ac:dyDescent="0.55000000000000004">
      <c r="A14" s="8" t="s">
        <v>36</v>
      </c>
      <c r="B14" s="19" t="s">
        <v>77</v>
      </c>
      <c r="C14" s="9">
        <v>3062</v>
      </c>
      <c r="D14" s="9">
        <v>2533</v>
      </c>
      <c r="E14" s="28">
        <f t="shared" si="0"/>
        <v>-529</v>
      </c>
      <c r="F14" s="25">
        <v>0.13600000000000001</v>
      </c>
      <c r="G14" s="25">
        <v>0.113</v>
      </c>
    </row>
    <row r="15" spans="1:7" x14ac:dyDescent="0.55000000000000004">
      <c r="A15" s="29" t="s">
        <v>36</v>
      </c>
      <c r="B15" s="29" t="s">
        <v>27</v>
      </c>
      <c r="C15" s="30">
        <v>903</v>
      </c>
      <c r="D15" s="30">
        <v>520</v>
      </c>
      <c r="E15" s="31">
        <f t="shared" si="0"/>
        <v>-383</v>
      </c>
      <c r="F15" s="23">
        <v>0.19</v>
      </c>
      <c r="G15" s="23">
        <v>0.11799999999999999</v>
      </c>
    </row>
    <row r="16" spans="1:7" x14ac:dyDescent="0.55000000000000004">
      <c r="A16" s="29" t="s">
        <v>36</v>
      </c>
      <c r="B16" s="29" t="s">
        <v>28</v>
      </c>
      <c r="C16" s="30">
        <v>604</v>
      </c>
      <c r="D16" s="30">
        <v>492</v>
      </c>
      <c r="E16" s="31">
        <f t="shared" si="0"/>
        <v>-112</v>
      </c>
      <c r="F16" s="23">
        <v>0.18</v>
      </c>
      <c r="G16" s="23">
        <v>0.14899999999999999</v>
      </c>
    </row>
    <row r="17" spans="1:7" x14ac:dyDescent="0.55000000000000004">
      <c r="A17" s="8" t="s">
        <v>37</v>
      </c>
      <c r="B17" s="19" t="s">
        <v>77</v>
      </c>
      <c r="C17" s="9">
        <v>3484</v>
      </c>
      <c r="D17" s="9">
        <v>3472</v>
      </c>
      <c r="E17" s="28">
        <f t="shared" si="0"/>
        <v>-12</v>
      </c>
      <c r="F17" s="25">
        <v>0.115</v>
      </c>
      <c r="G17" s="25">
        <v>0.113</v>
      </c>
    </row>
    <row r="18" spans="1:7" x14ac:dyDescent="0.55000000000000004">
      <c r="A18" s="29" t="s">
        <v>37</v>
      </c>
      <c r="B18" s="29" t="s">
        <v>27</v>
      </c>
      <c r="C18" s="30">
        <v>653</v>
      </c>
      <c r="D18" s="30">
        <v>634</v>
      </c>
      <c r="E18" s="31">
        <f t="shared" si="0"/>
        <v>-19</v>
      </c>
      <c r="F18" s="23">
        <v>0.129</v>
      </c>
      <c r="G18" s="23">
        <v>0.125</v>
      </c>
    </row>
    <row r="19" spans="1:7" x14ac:dyDescent="0.55000000000000004">
      <c r="A19" s="29" t="s">
        <v>37</v>
      </c>
      <c r="B19" s="29" t="s">
        <v>28</v>
      </c>
      <c r="C19" s="30">
        <v>712</v>
      </c>
      <c r="D19" s="30">
        <v>656</v>
      </c>
      <c r="E19" s="31">
        <f t="shared" si="0"/>
        <v>-56</v>
      </c>
      <c r="F19" s="23">
        <v>0.158</v>
      </c>
      <c r="G19" s="23">
        <v>0.14699999999999999</v>
      </c>
    </row>
    <row r="20" spans="1:7" x14ac:dyDescent="0.55000000000000004">
      <c r="A20" s="14" t="s">
        <v>38</v>
      </c>
      <c r="B20" s="14" t="s">
        <v>77</v>
      </c>
      <c r="C20" s="32">
        <v>16692</v>
      </c>
      <c r="D20" s="32">
        <v>15274</v>
      </c>
      <c r="E20" s="33">
        <f t="shared" si="0"/>
        <v>-1418</v>
      </c>
      <c r="F20" s="34">
        <v>0.124</v>
      </c>
      <c r="G20" s="34">
        <v>0.113</v>
      </c>
    </row>
    <row r="21" spans="1:7" x14ac:dyDescent="0.55000000000000004">
      <c r="A21" s="14" t="s">
        <v>38</v>
      </c>
      <c r="B21" s="14" t="s">
        <v>27</v>
      </c>
      <c r="C21" s="32">
        <v>3858</v>
      </c>
      <c r="D21" s="32">
        <v>3122</v>
      </c>
      <c r="E21" s="33">
        <f t="shared" si="0"/>
        <v>-736</v>
      </c>
      <c r="F21" s="34">
        <v>0.14299999999999999</v>
      </c>
      <c r="G21" s="34">
        <v>0.12</v>
      </c>
    </row>
    <row r="22" spans="1:7" x14ac:dyDescent="0.55000000000000004">
      <c r="A22" s="14" t="s">
        <v>38</v>
      </c>
      <c r="B22" s="14" t="s">
        <v>28</v>
      </c>
      <c r="C22" s="32">
        <v>3564</v>
      </c>
      <c r="D22" s="32">
        <v>3160</v>
      </c>
      <c r="E22" s="33">
        <f t="shared" si="0"/>
        <v>-404</v>
      </c>
      <c r="F22" s="34">
        <v>0.16400000000000001</v>
      </c>
      <c r="G22" s="34">
        <v>0.14799999999999999</v>
      </c>
    </row>
    <row r="24" spans="1:7" x14ac:dyDescent="0.55000000000000004">
      <c r="A24" s="20" t="s">
        <v>78</v>
      </c>
    </row>
  </sheetData>
  <phoneticPr fontId="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4"/>
  <sheetViews>
    <sheetView showGridLines="0" workbookViewId="0">
      <pane ySplit="4" topLeftCell="A5" activePane="bottomLeft" state="frozen"/>
      <selection pane="bottomLeft" activeCell="D1" sqref="D1:D1048576"/>
    </sheetView>
  </sheetViews>
  <sheetFormatPr defaultRowHeight="16.5" customHeight="1" x14ac:dyDescent="0.55000000000000004"/>
  <cols>
    <col min="1" max="1" width="12" customWidth="1"/>
    <col min="2" max="2" width="20" customWidth="1"/>
    <col min="3" max="4" width="14" customWidth="1"/>
    <col min="5" max="5" width="16" customWidth="1"/>
    <col min="6" max="6" width="18" customWidth="1"/>
  </cols>
  <sheetData>
    <row r="1" spans="1:6" ht="17.600000000000001" x14ac:dyDescent="0.55000000000000004">
      <c r="A1" s="1" t="s">
        <v>79</v>
      </c>
    </row>
    <row r="2" spans="1:6" ht="17.600000000000001" x14ac:dyDescent="0.55000000000000004">
      <c r="A2" s="2" t="s">
        <v>80</v>
      </c>
    </row>
    <row r="4" spans="1:6" ht="24.9" x14ac:dyDescent="0.55000000000000004">
      <c r="A4" s="7" t="s">
        <v>25</v>
      </c>
      <c r="B4" s="7" t="s">
        <v>72</v>
      </c>
      <c r="C4" s="7" t="s">
        <v>19</v>
      </c>
      <c r="D4" s="7" t="s">
        <v>81</v>
      </c>
      <c r="E4" s="7" t="s">
        <v>82</v>
      </c>
      <c r="F4" s="7" t="s">
        <v>83</v>
      </c>
    </row>
    <row r="5" spans="1:6" ht="17.600000000000001" x14ac:dyDescent="0.55000000000000004">
      <c r="A5" s="8" t="s">
        <v>33</v>
      </c>
      <c r="B5" s="19" t="s">
        <v>77</v>
      </c>
      <c r="C5" s="9">
        <v>2436</v>
      </c>
      <c r="D5" s="25">
        <v>0.106</v>
      </c>
      <c r="E5" s="28">
        <f>'05_개업가게수'!C5-C5</f>
        <v>284</v>
      </c>
      <c r="F5" s="27">
        <f>'05_개업가게수'!F5-D5</f>
        <v>1.1999999999999997E-2</v>
      </c>
    </row>
    <row r="6" spans="1:6" ht="17.600000000000001" x14ac:dyDescent="0.55000000000000004">
      <c r="A6" s="29" t="s">
        <v>33</v>
      </c>
      <c r="B6" s="29" t="s">
        <v>27</v>
      </c>
      <c r="C6" s="30">
        <v>655</v>
      </c>
      <c r="D6" s="23">
        <v>0.128</v>
      </c>
      <c r="E6" s="31">
        <f>'05_개업가게수'!C6-C6</f>
        <v>-11</v>
      </c>
      <c r="F6" s="36">
        <f>'05_개업가게수'!F6-D6</f>
        <v>-2.0000000000000018E-3</v>
      </c>
    </row>
    <row r="7" spans="1:6" ht="17.600000000000001" x14ac:dyDescent="0.55000000000000004">
      <c r="A7" s="29" t="s">
        <v>33</v>
      </c>
      <c r="B7" s="29" t="s">
        <v>28</v>
      </c>
      <c r="C7" s="30">
        <v>518</v>
      </c>
      <c r="D7" s="23">
        <v>0.14699999999999999</v>
      </c>
      <c r="E7" s="31">
        <f>'05_개업가게수'!C7-C7</f>
        <v>40</v>
      </c>
      <c r="F7" s="36">
        <f>'05_개업가게수'!F7-D7</f>
        <v>1.2000000000000011E-2</v>
      </c>
    </row>
    <row r="8" spans="1:6" ht="17.600000000000001" x14ac:dyDescent="0.55000000000000004">
      <c r="A8" s="8" t="s">
        <v>34</v>
      </c>
      <c r="B8" s="19" t="s">
        <v>77</v>
      </c>
      <c r="C8" s="9">
        <v>4991</v>
      </c>
      <c r="D8" s="25">
        <v>0.108</v>
      </c>
      <c r="E8" s="28">
        <f>'05_개업가게수'!C8-C8</f>
        <v>497</v>
      </c>
      <c r="F8" s="27">
        <f>'05_개업가게수'!F8-D8</f>
        <v>1.0999999999999996E-2</v>
      </c>
    </row>
    <row r="9" spans="1:6" ht="17.600000000000001" x14ac:dyDescent="0.55000000000000004">
      <c r="A9" s="29" t="s">
        <v>34</v>
      </c>
      <c r="B9" s="29" t="s">
        <v>27</v>
      </c>
      <c r="C9" s="30">
        <v>1261</v>
      </c>
      <c r="D9" s="23">
        <v>0.13400000000000001</v>
      </c>
      <c r="E9" s="31">
        <f>'05_개업가게수'!C9-C9</f>
        <v>3</v>
      </c>
      <c r="F9" s="36">
        <f>'05_개업가게수'!F9-D9</f>
        <v>0</v>
      </c>
    </row>
    <row r="10" spans="1:6" ht="17.600000000000001" x14ac:dyDescent="0.55000000000000004">
      <c r="A10" s="29" t="s">
        <v>34</v>
      </c>
      <c r="B10" s="29" t="s">
        <v>28</v>
      </c>
      <c r="C10" s="30">
        <v>1209</v>
      </c>
      <c r="D10" s="23">
        <v>0.159</v>
      </c>
      <c r="E10" s="31">
        <f>'05_개업가게수'!C10-C10</f>
        <v>67</v>
      </c>
      <c r="F10" s="36">
        <f>'05_개업가게수'!F10-D10</f>
        <v>9.000000000000008E-3</v>
      </c>
    </row>
    <row r="11" spans="1:6" ht="17.600000000000001" x14ac:dyDescent="0.55000000000000004">
      <c r="A11" s="8" t="s">
        <v>35</v>
      </c>
      <c r="B11" s="19" t="s">
        <v>77</v>
      </c>
      <c r="C11" s="9">
        <v>1688</v>
      </c>
      <c r="D11" s="25">
        <v>0.13300000000000001</v>
      </c>
      <c r="E11" s="28">
        <f>'05_개업가게수'!C11-C11</f>
        <v>250</v>
      </c>
      <c r="F11" s="27">
        <f>'05_개업가게수'!F11-D11</f>
        <v>1.999999999999999E-2</v>
      </c>
    </row>
    <row r="12" spans="1:6" ht="17.600000000000001" x14ac:dyDescent="0.55000000000000004">
      <c r="A12" s="29" t="s">
        <v>35</v>
      </c>
      <c r="B12" s="29" t="s">
        <v>27</v>
      </c>
      <c r="C12" s="30">
        <v>393</v>
      </c>
      <c r="D12" s="23">
        <v>0.153</v>
      </c>
      <c r="E12" s="31">
        <f>'05_개업가게수'!C12-C12</f>
        <v>1</v>
      </c>
      <c r="F12" s="36">
        <f>'05_개업가게수'!F12-D12</f>
        <v>0</v>
      </c>
    </row>
    <row r="13" spans="1:6" ht="17.600000000000001" x14ac:dyDescent="0.55000000000000004">
      <c r="A13" s="29" t="s">
        <v>35</v>
      </c>
      <c r="B13" s="29" t="s">
        <v>28</v>
      </c>
      <c r="C13" s="30">
        <v>381</v>
      </c>
      <c r="D13" s="23">
        <v>0.13700000000000001</v>
      </c>
      <c r="E13" s="31">
        <f>'05_개업가게수'!C13-C13</f>
        <v>33</v>
      </c>
      <c r="F13" s="36">
        <f>'05_개업가게수'!F13-D13</f>
        <v>1.1999999999999983E-2</v>
      </c>
    </row>
    <row r="14" spans="1:6" ht="17.600000000000001" x14ac:dyDescent="0.55000000000000004">
      <c r="A14" s="8" t="s">
        <v>36</v>
      </c>
      <c r="B14" s="19" t="s">
        <v>77</v>
      </c>
      <c r="C14" s="9">
        <v>2464</v>
      </c>
      <c r="D14" s="25">
        <v>0.11</v>
      </c>
      <c r="E14" s="28">
        <f>'05_개업가게수'!C14-C14</f>
        <v>598</v>
      </c>
      <c r="F14" s="27">
        <f>'05_개업가게수'!F14-D14</f>
        <v>2.6000000000000009E-2</v>
      </c>
    </row>
    <row r="15" spans="1:6" ht="17.600000000000001" x14ac:dyDescent="0.55000000000000004">
      <c r="A15" s="29" t="s">
        <v>36</v>
      </c>
      <c r="B15" s="29" t="s">
        <v>27</v>
      </c>
      <c r="C15" s="30">
        <v>768</v>
      </c>
      <c r="D15" s="23">
        <v>0.16200000000000001</v>
      </c>
      <c r="E15" s="31">
        <f>'05_개업가게수'!C15-C15</f>
        <v>135</v>
      </c>
      <c r="F15" s="36">
        <f>'05_개업가게수'!F15-D15</f>
        <v>2.7999999999999997E-2</v>
      </c>
    </row>
    <row r="16" spans="1:6" ht="17.600000000000001" x14ac:dyDescent="0.55000000000000004">
      <c r="A16" s="29" t="s">
        <v>36</v>
      </c>
      <c r="B16" s="29" t="s">
        <v>28</v>
      </c>
      <c r="C16" s="30">
        <v>487</v>
      </c>
      <c r="D16" s="23">
        <v>0.14499999999999999</v>
      </c>
      <c r="E16" s="31">
        <f>'05_개업가게수'!C16-C16</f>
        <v>117</v>
      </c>
      <c r="F16" s="36">
        <f>'05_개업가게수'!F16-D16</f>
        <v>3.5000000000000003E-2</v>
      </c>
    </row>
    <row r="17" spans="1:6" ht="17.600000000000001" x14ac:dyDescent="0.55000000000000004">
      <c r="A17" s="8" t="s">
        <v>37</v>
      </c>
      <c r="B17" s="19" t="s">
        <v>77</v>
      </c>
      <c r="C17" s="9">
        <v>3001</v>
      </c>
      <c r="D17" s="25">
        <v>9.9000000000000005E-2</v>
      </c>
      <c r="E17" s="28">
        <f>'05_개업가게수'!C17-C17</f>
        <v>483</v>
      </c>
      <c r="F17" s="27">
        <f>'05_개업가게수'!F17-D17</f>
        <v>1.6E-2</v>
      </c>
    </row>
    <row r="18" spans="1:6" ht="17.600000000000001" x14ac:dyDescent="0.55000000000000004">
      <c r="A18" s="29" t="s">
        <v>37</v>
      </c>
      <c r="B18" s="29" t="s">
        <v>27</v>
      </c>
      <c r="C18" s="30">
        <v>626</v>
      </c>
      <c r="D18" s="23">
        <v>0.124</v>
      </c>
      <c r="E18" s="31">
        <f>'05_개업가게수'!C18-C18</f>
        <v>27</v>
      </c>
      <c r="F18" s="36">
        <f>'05_개업가게수'!F18-D18</f>
        <v>5.0000000000000044E-3</v>
      </c>
    </row>
    <row r="19" spans="1:6" ht="17.600000000000001" x14ac:dyDescent="0.55000000000000004">
      <c r="A19" s="29" t="s">
        <v>37</v>
      </c>
      <c r="B19" s="29" t="s">
        <v>28</v>
      </c>
      <c r="C19" s="30">
        <v>654</v>
      </c>
      <c r="D19" s="23">
        <v>0.14499999999999999</v>
      </c>
      <c r="E19" s="31">
        <f>'05_개업가게수'!C19-C19</f>
        <v>58</v>
      </c>
      <c r="F19" s="36">
        <f>'05_개업가게수'!F19-D19</f>
        <v>1.3000000000000012E-2</v>
      </c>
    </row>
    <row r="20" spans="1:6" ht="17.600000000000001" x14ac:dyDescent="0.55000000000000004">
      <c r="A20" s="14" t="s">
        <v>38</v>
      </c>
      <c r="B20" s="14" t="s">
        <v>77</v>
      </c>
      <c r="C20" s="32">
        <v>14580</v>
      </c>
      <c r="D20" s="34">
        <v>0.108</v>
      </c>
      <c r="E20" s="33">
        <f>'05_개업가게수'!C20-C20</f>
        <v>2112</v>
      </c>
      <c r="F20" s="37">
        <f>'05_개업가게수'!F20-D20</f>
        <v>1.6E-2</v>
      </c>
    </row>
    <row r="21" spans="1:6" ht="17.600000000000001" x14ac:dyDescent="0.55000000000000004">
      <c r="A21" s="14" t="s">
        <v>38</v>
      </c>
      <c r="B21" s="14" t="s">
        <v>27</v>
      </c>
      <c r="C21" s="32">
        <v>3703</v>
      </c>
      <c r="D21" s="34">
        <v>0.13800000000000001</v>
      </c>
      <c r="E21" s="33">
        <f>'05_개업가게수'!C21-C21</f>
        <v>155</v>
      </c>
      <c r="F21" s="37">
        <f>'05_개업가게수'!F21-D21</f>
        <v>4.9999999999999767E-3</v>
      </c>
    </row>
    <row r="22" spans="1:6" ht="17.600000000000001" x14ac:dyDescent="0.55000000000000004">
      <c r="A22" s="14" t="s">
        <v>38</v>
      </c>
      <c r="B22" s="14" t="s">
        <v>28</v>
      </c>
      <c r="C22" s="32">
        <v>3249</v>
      </c>
      <c r="D22" s="34">
        <v>0.14899999999999999</v>
      </c>
      <c r="E22" s="33">
        <f>'05_개업가게수'!C22-C22</f>
        <v>315</v>
      </c>
      <c r="F22" s="37">
        <f>'05_개업가게수'!F22-D22</f>
        <v>1.5000000000000013E-2</v>
      </c>
    </row>
    <row r="24" spans="1:6" ht="17.600000000000001" x14ac:dyDescent="0.55000000000000004">
      <c r="A24" s="20" t="s">
        <v>84</v>
      </c>
    </row>
  </sheetData>
  <phoneticPr fontId="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7"/>
  <sheetViews>
    <sheetView showGridLines="0" workbookViewId="0">
      <pane ySplit="4" topLeftCell="A5" activePane="bottomLeft" state="frozen"/>
      <selection pane="bottomLeft"/>
    </sheetView>
  </sheetViews>
  <sheetFormatPr defaultRowHeight="17.600000000000001" x14ac:dyDescent="0.55000000000000004"/>
  <cols>
    <col min="1" max="1" width="36" customWidth="1"/>
    <col min="2" max="2" width="14" customWidth="1"/>
    <col min="3" max="3" width="12" customWidth="1"/>
    <col min="4" max="8" width="11" customWidth="1"/>
    <col min="9" max="10" width="13" customWidth="1"/>
    <col min="11" max="11" width="14" customWidth="1"/>
  </cols>
  <sheetData>
    <row r="1" spans="1:11" x14ac:dyDescent="0.55000000000000004">
      <c r="A1" s="1" t="s">
        <v>85</v>
      </c>
    </row>
    <row r="2" spans="1:11" x14ac:dyDescent="0.55000000000000004">
      <c r="A2" s="2" t="s">
        <v>86</v>
      </c>
    </row>
    <row r="4" spans="1:11" ht="24.9" x14ac:dyDescent="0.55000000000000004">
      <c r="A4" s="7" t="s">
        <v>87</v>
      </c>
      <c r="B4" s="7" t="s">
        <v>88</v>
      </c>
      <c r="C4" s="7" t="s">
        <v>89</v>
      </c>
      <c r="D4" s="7" t="s">
        <v>33</v>
      </c>
      <c r="E4" s="7" t="s">
        <v>34</v>
      </c>
      <c r="F4" s="7" t="s">
        <v>35</v>
      </c>
      <c r="G4" s="7" t="s">
        <v>36</v>
      </c>
      <c r="H4" s="7" t="s">
        <v>37</v>
      </c>
      <c r="I4" s="7" t="s">
        <v>90</v>
      </c>
      <c r="J4" s="7" t="s">
        <v>91</v>
      </c>
      <c r="K4" s="7" t="s">
        <v>92</v>
      </c>
    </row>
    <row r="5" spans="1:11" x14ac:dyDescent="0.55000000000000004">
      <c r="A5" s="14" t="s">
        <v>77</v>
      </c>
      <c r="B5" s="15">
        <v>134666</v>
      </c>
      <c r="C5" s="38">
        <f t="shared" ref="C5:C23" si="0">IFERROR(B5/$B$5,0)</f>
        <v>1</v>
      </c>
      <c r="D5" s="15">
        <v>22967</v>
      </c>
      <c r="E5" s="15">
        <v>45936</v>
      </c>
      <c r="F5" s="15">
        <v>12691</v>
      </c>
      <c r="G5" s="15">
        <v>22393</v>
      </c>
      <c r="H5" s="15">
        <v>30679</v>
      </c>
      <c r="I5" s="16">
        <v>0.124</v>
      </c>
      <c r="J5" s="16">
        <v>0.108</v>
      </c>
      <c r="K5" s="39">
        <f>I5-J5</f>
        <v>1.6E-2</v>
      </c>
    </row>
    <row r="6" spans="1:11" x14ac:dyDescent="0.55000000000000004">
      <c r="A6" s="19" t="s">
        <v>93</v>
      </c>
      <c r="B6" s="9">
        <v>649</v>
      </c>
      <c r="C6" s="11">
        <f t="shared" si="0"/>
        <v>4.8193307887662807E-3</v>
      </c>
      <c r="D6" s="9">
        <v>29</v>
      </c>
      <c r="E6" s="9">
        <v>29</v>
      </c>
      <c r="F6" s="9">
        <v>104</v>
      </c>
      <c r="G6" s="9">
        <v>132</v>
      </c>
      <c r="H6" s="9">
        <v>355</v>
      </c>
      <c r="I6" s="25">
        <v>0.16</v>
      </c>
      <c r="J6" s="25">
        <v>0.104</v>
      </c>
      <c r="K6" s="27">
        <f>I6-J6</f>
        <v>5.6000000000000008E-2</v>
      </c>
    </row>
    <row r="7" spans="1:11" x14ac:dyDescent="0.55000000000000004">
      <c r="A7" s="19" t="s">
        <v>94</v>
      </c>
      <c r="B7" s="9">
        <v>10</v>
      </c>
      <c r="C7" s="11">
        <f t="shared" si="0"/>
        <v>7.4257793355412646E-5</v>
      </c>
      <c r="D7" s="9">
        <v>1</v>
      </c>
      <c r="E7" s="9">
        <v>2</v>
      </c>
      <c r="F7" s="35" t="s">
        <v>95</v>
      </c>
      <c r="G7" s="35" t="s">
        <v>95</v>
      </c>
      <c r="H7" s="9">
        <v>7</v>
      </c>
      <c r="I7" s="25">
        <v>0</v>
      </c>
      <c r="J7" s="35" t="s">
        <v>95</v>
      </c>
      <c r="K7" s="35" t="s">
        <v>95</v>
      </c>
    </row>
    <row r="8" spans="1:11" x14ac:dyDescent="0.55000000000000004">
      <c r="A8" s="19" t="s">
        <v>96</v>
      </c>
      <c r="B8" s="9">
        <v>10108</v>
      </c>
      <c r="C8" s="11">
        <f t="shared" si="0"/>
        <v>7.5059777523651103E-2</v>
      </c>
      <c r="D8" s="9">
        <v>1121</v>
      </c>
      <c r="E8" s="9">
        <v>1897</v>
      </c>
      <c r="F8" s="9">
        <v>881</v>
      </c>
      <c r="G8" s="9">
        <v>2270</v>
      </c>
      <c r="H8" s="9">
        <v>3939</v>
      </c>
      <c r="I8" s="25">
        <v>9.8000000000000004E-2</v>
      </c>
      <c r="J8" s="25">
        <v>8.5999999999999993E-2</v>
      </c>
      <c r="K8" s="27">
        <f t="shared" ref="K8:K23" si="1">I8-J8</f>
        <v>1.2000000000000011E-2</v>
      </c>
    </row>
    <row r="9" spans="1:11" x14ac:dyDescent="0.55000000000000004">
      <c r="A9" s="19" t="s">
        <v>97</v>
      </c>
      <c r="B9" s="9">
        <v>422</v>
      </c>
      <c r="C9" s="11">
        <f t="shared" si="0"/>
        <v>3.1336788795984141E-3</v>
      </c>
      <c r="D9" s="9">
        <v>23</v>
      </c>
      <c r="E9" s="9">
        <v>61</v>
      </c>
      <c r="F9" s="9">
        <v>22</v>
      </c>
      <c r="G9" s="9">
        <v>59</v>
      </c>
      <c r="H9" s="9">
        <v>257</v>
      </c>
      <c r="I9" s="25">
        <v>0.13700000000000001</v>
      </c>
      <c r="J9" s="25">
        <v>3.7999999999999999E-2</v>
      </c>
      <c r="K9" s="27">
        <f t="shared" si="1"/>
        <v>9.9000000000000005E-2</v>
      </c>
    </row>
    <row r="10" spans="1:11" x14ac:dyDescent="0.55000000000000004">
      <c r="A10" s="19" t="s">
        <v>98</v>
      </c>
      <c r="B10" s="9">
        <v>278</v>
      </c>
      <c r="C10" s="11">
        <f t="shared" si="0"/>
        <v>2.0643666552804716E-3</v>
      </c>
      <c r="D10" s="9">
        <v>24</v>
      </c>
      <c r="E10" s="9">
        <v>81</v>
      </c>
      <c r="F10" s="9">
        <v>15</v>
      </c>
      <c r="G10" s="9">
        <v>30</v>
      </c>
      <c r="H10" s="9">
        <v>128</v>
      </c>
      <c r="I10" s="25">
        <v>4.7E-2</v>
      </c>
      <c r="J10" s="25">
        <v>0.05</v>
      </c>
      <c r="K10" s="27">
        <f t="shared" si="1"/>
        <v>-3.0000000000000027E-3</v>
      </c>
    </row>
    <row r="11" spans="1:11" x14ac:dyDescent="0.55000000000000004">
      <c r="A11" s="19" t="s">
        <v>99</v>
      </c>
      <c r="B11" s="9">
        <v>10733</v>
      </c>
      <c r="C11" s="11">
        <f t="shared" si="0"/>
        <v>7.9700889608364398E-2</v>
      </c>
      <c r="D11" s="9">
        <v>2208</v>
      </c>
      <c r="E11" s="9">
        <v>4037</v>
      </c>
      <c r="F11" s="9">
        <v>556</v>
      </c>
      <c r="G11" s="9">
        <v>1076</v>
      </c>
      <c r="H11" s="9">
        <v>2856</v>
      </c>
      <c r="I11" s="25">
        <v>9.6000000000000002E-2</v>
      </c>
      <c r="J11" s="25">
        <v>7.0999999999999994E-2</v>
      </c>
      <c r="K11" s="27">
        <f t="shared" si="1"/>
        <v>2.5000000000000008E-2</v>
      </c>
    </row>
    <row r="12" spans="1:11" x14ac:dyDescent="0.55000000000000004">
      <c r="A12" s="29" t="s">
        <v>27</v>
      </c>
      <c r="B12" s="30">
        <v>26095</v>
      </c>
      <c r="C12" s="40">
        <f t="shared" si="0"/>
        <v>0.19377571176094932</v>
      </c>
      <c r="D12" s="30">
        <v>4967</v>
      </c>
      <c r="E12" s="30">
        <v>9117</v>
      </c>
      <c r="F12" s="30">
        <v>2508</v>
      </c>
      <c r="G12" s="30">
        <v>4424</v>
      </c>
      <c r="H12" s="30">
        <v>5079</v>
      </c>
      <c r="I12" s="23">
        <v>0.14299999999999999</v>
      </c>
      <c r="J12" s="23">
        <v>0.13800000000000001</v>
      </c>
      <c r="K12" s="36">
        <f t="shared" si="1"/>
        <v>4.9999999999999767E-3</v>
      </c>
    </row>
    <row r="13" spans="1:11" x14ac:dyDescent="0.55000000000000004">
      <c r="A13" s="19" t="s">
        <v>100</v>
      </c>
      <c r="B13" s="9">
        <v>13993</v>
      </c>
      <c r="C13" s="11">
        <f t="shared" si="0"/>
        <v>0.10390893024222893</v>
      </c>
      <c r="D13" s="9">
        <v>2161</v>
      </c>
      <c r="E13" s="9">
        <v>4236</v>
      </c>
      <c r="F13" s="9">
        <v>860</v>
      </c>
      <c r="G13" s="9">
        <v>2344</v>
      </c>
      <c r="H13" s="9">
        <v>4392</v>
      </c>
      <c r="I13" s="25">
        <v>7.400000000000001E-2</v>
      </c>
      <c r="J13" s="25">
        <v>6.2E-2</v>
      </c>
      <c r="K13" s="27">
        <f t="shared" si="1"/>
        <v>1.2000000000000011E-2</v>
      </c>
    </row>
    <row r="14" spans="1:11" x14ac:dyDescent="0.55000000000000004">
      <c r="A14" s="29" t="s">
        <v>28</v>
      </c>
      <c r="B14" s="30">
        <v>21356</v>
      </c>
      <c r="C14" s="40">
        <f t="shared" si="0"/>
        <v>0.15858494348981925</v>
      </c>
      <c r="D14" s="30">
        <v>3450</v>
      </c>
      <c r="E14" s="30">
        <v>7383</v>
      </c>
      <c r="F14" s="30">
        <v>2746</v>
      </c>
      <c r="G14" s="30">
        <v>3310</v>
      </c>
      <c r="H14" s="30">
        <v>4467</v>
      </c>
      <c r="I14" s="23">
        <v>0.16400000000000001</v>
      </c>
      <c r="J14" s="23">
        <v>0.14899999999999999</v>
      </c>
      <c r="K14" s="36">
        <f t="shared" si="1"/>
        <v>1.5000000000000013E-2</v>
      </c>
    </row>
    <row r="15" spans="1:11" x14ac:dyDescent="0.55000000000000004">
      <c r="A15" s="19" t="s">
        <v>101</v>
      </c>
      <c r="B15" s="9">
        <v>878</v>
      </c>
      <c r="C15" s="11">
        <f t="shared" si="0"/>
        <v>6.5198342566052305E-3</v>
      </c>
      <c r="D15" s="9">
        <v>220</v>
      </c>
      <c r="E15" s="9">
        <v>310</v>
      </c>
      <c r="F15" s="9">
        <v>69</v>
      </c>
      <c r="G15" s="9">
        <v>102</v>
      </c>
      <c r="H15" s="9">
        <v>177</v>
      </c>
      <c r="I15" s="25">
        <v>0.17499999999999999</v>
      </c>
      <c r="J15" s="25">
        <v>0.13700000000000001</v>
      </c>
      <c r="K15" s="27">
        <f t="shared" si="1"/>
        <v>3.7999999999999978E-2</v>
      </c>
    </row>
    <row r="16" spans="1:11" x14ac:dyDescent="0.55000000000000004">
      <c r="A16" s="19" t="s">
        <v>102</v>
      </c>
      <c r="B16" s="9">
        <v>302</v>
      </c>
      <c r="C16" s="11">
        <f t="shared" si="0"/>
        <v>2.2425853593334619E-3</v>
      </c>
      <c r="D16" s="9">
        <v>15</v>
      </c>
      <c r="E16" s="9">
        <v>206</v>
      </c>
      <c r="F16" s="9">
        <v>22</v>
      </c>
      <c r="G16" s="9">
        <v>35</v>
      </c>
      <c r="H16" s="9">
        <v>24</v>
      </c>
      <c r="I16" s="25">
        <v>0.154</v>
      </c>
      <c r="J16" s="25">
        <v>0.13100000000000001</v>
      </c>
      <c r="K16" s="27">
        <f t="shared" si="1"/>
        <v>2.2999999999999993E-2</v>
      </c>
    </row>
    <row r="17" spans="1:11" x14ac:dyDescent="0.55000000000000004">
      <c r="A17" s="19" t="s">
        <v>103</v>
      </c>
      <c r="B17" s="9">
        <v>25406</v>
      </c>
      <c r="C17" s="11">
        <f t="shared" si="0"/>
        <v>0.18865934979876137</v>
      </c>
      <c r="D17" s="9">
        <v>4420</v>
      </c>
      <c r="E17" s="9">
        <v>9313</v>
      </c>
      <c r="F17" s="9">
        <v>2410</v>
      </c>
      <c r="G17" s="9">
        <v>4572</v>
      </c>
      <c r="H17" s="9">
        <v>4691</v>
      </c>
      <c r="I17" s="25">
        <v>0.10199999999999999</v>
      </c>
      <c r="J17" s="25">
        <v>9.1999999999999998E-2</v>
      </c>
      <c r="K17" s="27">
        <f t="shared" si="1"/>
        <v>9.999999999999995E-3</v>
      </c>
    </row>
    <row r="18" spans="1:11" x14ac:dyDescent="0.55000000000000004">
      <c r="A18" s="19" t="s">
        <v>104</v>
      </c>
      <c r="B18" s="9">
        <v>3546</v>
      </c>
      <c r="C18" s="11">
        <f t="shared" si="0"/>
        <v>2.6331813523829326E-2</v>
      </c>
      <c r="D18" s="9">
        <v>636</v>
      </c>
      <c r="E18" s="9">
        <v>1616</v>
      </c>
      <c r="F18" s="9">
        <v>243</v>
      </c>
      <c r="G18" s="9">
        <v>475</v>
      </c>
      <c r="H18" s="9">
        <v>576</v>
      </c>
      <c r="I18" s="25">
        <v>0.14699999999999999</v>
      </c>
      <c r="J18" s="25">
        <v>9.4E-2</v>
      </c>
      <c r="K18" s="27">
        <f t="shared" si="1"/>
        <v>5.2999999999999992E-2</v>
      </c>
    </row>
    <row r="19" spans="1:11" x14ac:dyDescent="0.55000000000000004">
      <c r="A19" s="19" t="s">
        <v>105</v>
      </c>
      <c r="B19" s="9">
        <v>3158</v>
      </c>
      <c r="C19" s="11">
        <f t="shared" si="0"/>
        <v>2.3450611141639315E-2</v>
      </c>
      <c r="D19" s="9">
        <v>550</v>
      </c>
      <c r="E19" s="9">
        <v>1068</v>
      </c>
      <c r="F19" s="9">
        <v>272</v>
      </c>
      <c r="G19" s="9">
        <v>472</v>
      </c>
      <c r="H19" s="9">
        <v>796</v>
      </c>
      <c r="I19" s="25">
        <v>0.161</v>
      </c>
      <c r="J19" s="25">
        <v>0.13200000000000001</v>
      </c>
      <c r="K19" s="27">
        <f t="shared" si="1"/>
        <v>2.8999999999999998E-2</v>
      </c>
    </row>
    <row r="20" spans="1:11" x14ac:dyDescent="0.55000000000000004">
      <c r="A20" s="19" t="s">
        <v>106</v>
      </c>
      <c r="B20" s="9">
        <v>5135</v>
      </c>
      <c r="C20" s="11">
        <f t="shared" si="0"/>
        <v>3.8131376888004394E-2</v>
      </c>
      <c r="D20" s="9">
        <v>895</v>
      </c>
      <c r="E20" s="9">
        <v>1808</v>
      </c>
      <c r="F20" s="9">
        <v>558</v>
      </c>
      <c r="G20" s="9">
        <v>1038</v>
      </c>
      <c r="H20" s="9">
        <v>836</v>
      </c>
      <c r="I20" s="25">
        <v>0.157</v>
      </c>
      <c r="J20" s="25">
        <v>0.13</v>
      </c>
      <c r="K20" s="27">
        <f t="shared" si="1"/>
        <v>2.6999999999999996E-2</v>
      </c>
    </row>
    <row r="21" spans="1:11" x14ac:dyDescent="0.55000000000000004">
      <c r="A21" s="19" t="s">
        <v>107</v>
      </c>
      <c r="B21" s="9">
        <v>1555</v>
      </c>
      <c r="C21" s="11">
        <f t="shared" si="0"/>
        <v>1.1547086866766667E-2</v>
      </c>
      <c r="D21" s="9">
        <v>271</v>
      </c>
      <c r="E21" s="9">
        <v>692</v>
      </c>
      <c r="F21" s="9">
        <v>188</v>
      </c>
      <c r="G21" s="9">
        <v>202</v>
      </c>
      <c r="H21" s="9">
        <v>202</v>
      </c>
      <c r="I21" s="25">
        <v>4.2000000000000003E-2</v>
      </c>
      <c r="J21" s="25">
        <v>2.9000000000000001E-2</v>
      </c>
      <c r="K21" s="27">
        <f t="shared" si="1"/>
        <v>1.3000000000000001E-2</v>
      </c>
    </row>
    <row r="22" spans="1:11" x14ac:dyDescent="0.55000000000000004">
      <c r="A22" s="19" t="s">
        <v>108</v>
      </c>
      <c r="B22" s="9">
        <v>2725</v>
      </c>
      <c r="C22" s="11">
        <f t="shared" si="0"/>
        <v>2.0235248689349946E-2</v>
      </c>
      <c r="D22" s="9">
        <v>463</v>
      </c>
      <c r="E22" s="9">
        <v>967</v>
      </c>
      <c r="F22" s="9">
        <v>314</v>
      </c>
      <c r="G22" s="9">
        <v>473</v>
      </c>
      <c r="H22" s="9">
        <v>508</v>
      </c>
      <c r="I22" s="25">
        <v>0.152</v>
      </c>
      <c r="J22" s="25">
        <v>0.13400000000000001</v>
      </c>
      <c r="K22" s="27">
        <f t="shared" si="1"/>
        <v>1.7999999999999988E-2</v>
      </c>
    </row>
    <row r="23" spans="1:11" x14ac:dyDescent="0.55000000000000004">
      <c r="A23" s="19" t="s">
        <v>109</v>
      </c>
      <c r="B23" s="9">
        <v>8317</v>
      </c>
      <c r="C23" s="11">
        <f t="shared" si="0"/>
        <v>6.1760206733696699E-2</v>
      </c>
      <c r="D23" s="9">
        <v>1513</v>
      </c>
      <c r="E23" s="9">
        <v>3113</v>
      </c>
      <c r="F23" s="9">
        <v>923</v>
      </c>
      <c r="G23" s="9">
        <v>1379</v>
      </c>
      <c r="H23" s="9">
        <v>1389</v>
      </c>
      <c r="I23" s="25">
        <v>0.13</v>
      </c>
      <c r="J23" s="25">
        <v>9.8000000000000004E-2</v>
      </c>
      <c r="K23" s="27">
        <f t="shared" si="1"/>
        <v>3.2000000000000001E-2</v>
      </c>
    </row>
    <row r="24" spans="1:11" x14ac:dyDescent="0.55000000000000004">
      <c r="A24" s="8" t="s">
        <v>110</v>
      </c>
      <c r="B24" s="10">
        <f>SUM(D5:H5)</f>
        <v>134666</v>
      </c>
      <c r="C24" s="41" t="str">
        <f>IF(B24=B5,"일치","불일치")</f>
        <v>일치</v>
      </c>
    </row>
    <row r="26" spans="1:11" x14ac:dyDescent="0.55000000000000004">
      <c r="A26" s="20" t="s">
        <v>111</v>
      </c>
    </row>
    <row r="27" spans="1:11" x14ac:dyDescent="0.55000000000000004">
      <c r="A27" s="20" t="s">
        <v>112</v>
      </c>
    </row>
  </sheetData>
  <phoneticPr fontId="8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3100A-519D-4903-AAF4-FA7C28CF6679}">
  <dimension ref="A1:G19"/>
  <sheetViews>
    <sheetView tabSelected="1" workbookViewId="0">
      <selection activeCell="H7" sqref="H7"/>
    </sheetView>
  </sheetViews>
  <sheetFormatPr defaultRowHeight="17.600000000000001" x14ac:dyDescent="0.55000000000000004"/>
  <cols>
    <col min="1" max="1" width="46.140625" bestFit="1" customWidth="1"/>
  </cols>
  <sheetData>
    <row r="1" spans="1:7" x14ac:dyDescent="0.55000000000000004">
      <c r="A1" s="42" t="s">
        <v>113</v>
      </c>
      <c r="B1" s="43" t="s">
        <v>114</v>
      </c>
      <c r="C1" s="43" t="s">
        <v>115</v>
      </c>
      <c r="D1" s="43" t="s">
        <v>116</v>
      </c>
      <c r="E1" s="43" t="s">
        <v>117</v>
      </c>
      <c r="F1" s="43" t="s">
        <v>118</v>
      </c>
      <c r="G1" s="44" t="s">
        <v>119</v>
      </c>
    </row>
    <row r="2" spans="1:7" x14ac:dyDescent="0.55000000000000004">
      <c r="A2" s="45" t="s">
        <v>120</v>
      </c>
      <c r="B2" s="46">
        <v>11.5</v>
      </c>
      <c r="C2" s="46">
        <v>13.1</v>
      </c>
      <c r="D2" s="46">
        <v>13.2</v>
      </c>
      <c r="E2" s="46">
        <v>14.2</v>
      </c>
      <c r="F2" s="46">
        <v>11.4</v>
      </c>
      <c r="G2" s="47">
        <v>63.4</v>
      </c>
    </row>
    <row r="3" spans="1:7" x14ac:dyDescent="0.55000000000000004">
      <c r="A3" s="48" t="s">
        <v>121</v>
      </c>
      <c r="B3" s="49">
        <v>12.9</v>
      </c>
      <c r="C3" s="49">
        <v>11.5</v>
      </c>
      <c r="D3" s="49">
        <v>10.9</v>
      </c>
      <c r="E3" s="49">
        <v>11.8</v>
      </c>
      <c r="F3" s="49">
        <v>11.4</v>
      </c>
      <c r="G3" s="50">
        <v>58.5</v>
      </c>
    </row>
    <row r="4" spans="1:7" x14ac:dyDescent="0.55000000000000004">
      <c r="A4" s="45" t="s">
        <v>122</v>
      </c>
      <c r="B4" s="46">
        <v>12.5</v>
      </c>
      <c r="C4" s="46">
        <v>12.7</v>
      </c>
      <c r="D4" s="46">
        <v>13.2</v>
      </c>
      <c r="E4" s="46">
        <v>9.3000000000000007</v>
      </c>
      <c r="F4" s="46">
        <v>7.3</v>
      </c>
      <c r="G4" s="47">
        <v>55</v>
      </c>
    </row>
    <row r="5" spans="1:7" x14ac:dyDescent="0.55000000000000004">
      <c r="A5" s="48" t="s">
        <v>123</v>
      </c>
      <c r="B5" s="49">
        <v>4.2</v>
      </c>
      <c r="C5" s="49">
        <v>7</v>
      </c>
      <c r="D5" s="49">
        <v>8.1</v>
      </c>
      <c r="E5" s="49">
        <v>9.9</v>
      </c>
      <c r="F5" s="49">
        <v>12.6</v>
      </c>
      <c r="G5" s="50">
        <v>41.8</v>
      </c>
    </row>
    <row r="6" spans="1:7" x14ac:dyDescent="0.55000000000000004">
      <c r="A6" s="45" t="s">
        <v>124</v>
      </c>
      <c r="B6" s="46">
        <v>6.3</v>
      </c>
      <c r="C6" s="46">
        <v>5</v>
      </c>
      <c r="D6" s="46">
        <v>6</v>
      </c>
      <c r="E6" s="46">
        <v>8.6</v>
      </c>
      <c r="F6" s="46">
        <v>9.5</v>
      </c>
      <c r="G6" s="47">
        <v>35.4</v>
      </c>
    </row>
    <row r="7" spans="1:7" x14ac:dyDescent="0.55000000000000004">
      <c r="A7" s="48" t="s">
        <v>125</v>
      </c>
      <c r="B7" s="49">
        <v>3.7</v>
      </c>
      <c r="C7" s="49">
        <v>3.8</v>
      </c>
      <c r="D7" s="49">
        <v>4.4000000000000004</v>
      </c>
      <c r="E7" s="49">
        <v>5.2</v>
      </c>
      <c r="F7" s="49">
        <v>8.4</v>
      </c>
      <c r="G7" s="50">
        <v>25.5</v>
      </c>
    </row>
    <row r="8" spans="1:7" x14ac:dyDescent="0.55000000000000004">
      <c r="A8" s="45" t="s">
        <v>126</v>
      </c>
      <c r="B8" s="46">
        <v>6.5</v>
      </c>
      <c r="C8" s="46">
        <v>5</v>
      </c>
      <c r="D8" s="46">
        <v>4.0999999999999996</v>
      </c>
      <c r="E8" s="46">
        <v>4.0999999999999996</v>
      </c>
      <c r="F8" s="46">
        <v>4</v>
      </c>
      <c r="G8" s="47">
        <v>23.7</v>
      </c>
    </row>
    <row r="9" spans="1:7" x14ac:dyDescent="0.55000000000000004">
      <c r="A9" s="48" t="s">
        <v>127</v>
      </c>
      <c r="B9" s="49">
        <v>6</v>
      </c>
      <c r="C9" s="49">
        <v>5.6</v>
      </c>
      <c r="D9" s="49">
        <v>4.4000000000000004</v>
      </c>
      <c r="E9" s="49">
        <v>3.5</v>
      </c>
      <c r="F9" s="49">
        <v>2.9</v>
      </c>
      <c r="G9" s="50">
        <v>22.4</v>
      </c>
    </row>
    <row r="10" spans="1:7" x14ac:dyDescent="0.55000000000000004">
      <c r="A10" s="45" t="s">
        <v>128</v>
      </c>
      <c r="B10" s="46">
        <v>4.9000000000000004</v>
      </c>
      <c r="C10" s="46">
        <v>4.5</v>
      </c>
      <c r="D10" s="46">
        <v>3.8</v>
      </c>
      <c r="E10" s="46">
        <v>3.3</v>
      </c>
      <c r="F10" s="46">
        <v>2.4</v>
      </c>
      <c r="G10" s="47">
        <v>18.899999999999999</v>
      </c>
    </row>
    <row r="11" spans="1:7" x14ac:dyDescent="0.55000000000000004">
      <c r="A11" s="48" t="s">
        <v>129</v>
      </c>
      <c r="B11" s="49">
        <v>8.1</v>
      </c>
      <c r="C11" s="49">
        <v>9.3000000000000007</v>
      </c>
      <c r="D11" s="49">
        <v>0.1</v>
      </c>
      <c r="E11" s="49">
        <v>0.1</v>
      </c>
      <c r="F11" s="49">
        <v>0.1</v>
      </c>
      <c r="G11" s="50">
        <v>17.7</v>
      </c>
    </row>
    <row r="12" spans="1:7" x14ac:dyDescent="0.55000000000000004">
      <c r="A12" s="45" t="s">
        <v>130</v>
      </c>
      <c r="B12" s="46">
        <v>3.4</v>
      </c>
      <c r="C12" s="46">
        <v>2.5</v>
      </c>
      <c r="D12" s="46">
        <v>3.2</v>
      </c>
      <c r="E12" s="46">
        <v>2</v>
      </c>
      <c r="F12" s="46">
        <v>2.9</v>
      </c>
      <c r="G12" s="47">
        <v>14</v>
      </c>
    </row>
    <row r="13" spans="1:7" x14ac:dyDescent="0.55000000000000004">
      <c r="A13" s="48" t="s">
        <v>131</v>
      </c>
      <c r="B13" s="49">
        <v>4.8</v>
      </c>
      <c r="C13" s="49">
        <v>2.7</v>
      </c>
      <c r="D13" s="49">
        <v>1.8</v>
      </c>
      <c r="E13" s="49">
        <v>2.8</v>
      </c>
      <c r="F13" s="49">
        <v>1.6</v>
      </c>
      <c r="G13" s="50">
        <v>13.7</v>
      </c>
    </row>
    <row r="14" spans="1:7" x14ac:dyDescent="0.55000000000000004">
      <c r="A14" s="45" t="s">
        <v>132</v>
      </c>
      <c r="B14" s="46">
        <v>6.7</v>
      </c>
      <c r="C14" s="46">
        <v>5.6</v>
      </c>
      <c r="D14" s="46">
        <v>0.1</v>
      </c>
      <c r="E14" s="46">
        <v>0.1</v>
      </c>
      <c r="F14" s="46">
        <v>0.1</v>
      </c>
      <c r="G14" s="47">
        <v>12.5</v>
      </c>
    </row>
    <row r="15" spans="1:7" x14ac:dyDescent="0.55000000000000004">
      <c r="A15" s="48" t="s">
        <v>133</v>
      </c>
      <c r="B15" s="49">
        <v>2.6</v>
      </c>
      <c r="C15" s="49">
        <v>2.9</v>
      </c>
      <c r="D15" s="49">
        <v>2.1</v>
      </c>
      <c r="E15" s="49">
        <v>2</v>
      </c>
      <c r="F15" s="49">
        <v>2.6</v>
      </c>
      <c r="G15" s="50">
        <v>12.2</v>
      </c>
    </row>
    <row r="16" spans="1:7" x14ac:dyDescent="0.55000000000000004">
      <c r="A16" s="45" t="s">
        <v>134</v>
      </c>
      <c r="B16" s="46">
        <v>1.9</v>
      </c>
      <c r="C16" s="46">
        <v>2.9</v>
      </c>
      <c r="D16" s="46">
        <v>1.4</v>
      </c>
      <c r="E16" s="46">
        <v>0.9</v>
      </c>
      <c r="F16" s="46">
        <v>1.5</v>
      </c>
      <c r="G16" s="47">
        <v>8.6</v>
      </c>
    </row>
    <row r="17" spans="1:7" x14ac:dyDescent="0.55000000000000004">
      <c r="A17" s="48" t="s">
        <v>135</v>
      </c>
      <c r="B17" s="49">
        <v>1.4</v>
      </c>
      <c r="C17" s="49">
        <v>1.8</v>
      </c>
      <c r="D17" s="49">
        <v>1.7</v>
      </c>
      <c r="E17" s="49">
        <v>1.4</v>
      </c>
      <c r="F17" s="49">
        <v>0.5</v>
      </c>
      <c r="G17" s="50">
        <v>6.8</v>
      </c>
    </row>
    <row r="18" spans="1:7" x14ac:dyDescent="0.55000000000000004">
      <c r="A18" s="45" t="s">
        <v>136</v>
      </c>
      <c r="B18" s="46">
        <v>1.1000000000000001</v>
      </c>
      <c r="C18" s="46">
        <v>1.6</v>
      </c>
      <c r="D18" s="46">
        <v>1.7</v>
      </c>
      <c r="E18" s="46">
        <v>1.1000000000000001</v>
      </c>
      <c r="F18" s="46">
        <v>0.7</v>
      </c>
      <c r="G18" s="47">
        <v>6.2</v>
      </c>
    </row>
    <row r="19" spans="1:7" x14ac:dyDescent="0.55000000000000004">
      <c r="A19" s="48" t="s">
        <v>137</v>
      </c>
      <c r="B19" s="49">
        <v>1.4</v>
      </c>
      <c r="C19" s="49">
        <v>2.7</v>
      </c>
      <c r="D19" s="49">
        <v>3.5</v>
      </c>
      <c r="E19" s="49">
        <v>3.1</v>
      </c>
      <c r="F19" s="49">
        <v>3.1</v>
      </c>
      <c r="G19" s="50">
        <v>13.8</v>
      </c>
    </row>
  </sheetData>
  <phoneticPr fontId="8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01_안내</vt:lpstr>
      <vt:lpstr>02_가게수</vt:lpstr>
      <vt:lpstr>03_인구수</vt:lpstr>
      <vt:lpstr>04_가게생존율</vt:lpstr>
      <vt:lpstr>05_개업가게수</vt:lpstr>
      <vt:lpstr>06_폐업가게수</vt:lpstr>
      <vt:lpstr>07_업종구조</vt:lpstr>
      <vt:lpstr>08_연령대별 소비스타일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Nakyung Lee</cp:lastModifiedBy>
  <cp:revision/>
  <dcterms:created xsi:type="dcterms:W3CDTF">2026-08-24T08:42:53Z</dcterms:created>
  <dcterms:modified xsi:type="dcterms:W3CDTF">2026-09-04T02:48:37Z</dcterms:modified>
  <cp:category/>
  <cp:contentStatus/>
</cp:coreProperties>
</file>