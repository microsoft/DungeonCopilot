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6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hyunko_microsoft_com/Documents/Documents/Microsoft Scout/"/>
    </mc:Choice>
  </mc:AlternateContent>
  <xr:revisionPtr revIDLastSave="4" documentId="8_{1AE6653E-5CDA-47B8-AF3C-EA72ADC4DBA3}" xr6:coauthVersionLast="47" xr6:coauthVersionMax="47" xr10:uidLastSave="{409E51A3-0DE5-4E9F-9239-9AE655D3217F}"/>
  <bookViews>
    <workbookView xWindow="-110" yWindow="-110" windowWidth="25180" windowHeight="16140" firstSheet="2" activeTab="2" xr2:uid="{00000000-000D-0000-FFFF-FFFF00000000}"/>
  </bookViews>
  <sheets>
    <sheet name="00_안내" sheetId="1" r:id="rId1"/>
    <sheet name="01_데이터카탈로그" sheetId="2" r:id="rId2"/>
    <sheet name="02_가게수" sheetId="3" r:id="rId3"/>
    <sheet name="03_인구수" sheetId="4" r:id="rId4"/>
    <sheet name="04_가게생존율" sheetId="5" r:id="rId5"/>
    <sheet name="05_개업가게수" sheetId="6" r:id="rId6"/>
    <sheet name="06_폐업가게수" sheetId="7" r:id="rId7"/>
    <sheet name="07_업종구조" sheetId="8" r:id="rId8"/>
    <sheet name="08_관광지표" sheetId="9" r:id="rId9"/>
    <sheet name="09_상권진단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0" l="1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F6" i="10"/>
  <c r="E6" i="10"/>
  <c r="D6" i="10"/>
  <c r="C6" i="10"/>
  <c r="B6" i="10"/>
  <c r="F5" i="10"/>
  <c r="E5" i="10"/>
  <c r="D5" i="10"/>
  <c r="C5" i="10"/>
  <c r="B5" i="10"/>
  <c r="B25" i="9"/>
  <c r="F17" i="9"/>
  <c r="E17" i="9"/>
  <c r="D17" i="9"/>
  <c r="C17" i="9"/>
  <c r="B17" i="9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6" i="8"/>
  <c r="J6" i="8"/>
  <c r="K5" i="8"/>
  <c r="J5" i="8"/>
  <c r="F22" i="7"/>
  <c r="E22" i="7"/>
  <c r="F21" i="7"/>
  <c r="E21" i="7"/>
  <c r="F20" i="7"/>
  <c r="E20" i="7"/>
  <c r="F19" i="7"/>
  <c r="F14" i="10" s="1"/>
  <c r="E19" i="7"/>
  <c r="F18" i="7"/>
  <c r="F15" i="10" s="1"/>
  <c r="E18" i="7"/>
  <c r="F17" i="7"/>
  <c r="F13" i="10" s="1"/>
  <c r="E17" i="7"/>
  <c r="F16" i="7"/>
  <c r="E14" i="10" s="1"/>
  <c r="E16" i="7"/>
  <c r="F15" i="7"/>
  <c r="E15" i="10" s="1"/>
  <c r="E15" i="7"/>
  <c r="F14" i="7"/>
  <c r="E13" i="10" s="1"/>
  <c r="E14" i="7"/>
  <c r="F13" i="7"/>
  <c r="D14" i="10" s="1"/>
  <c r="E13" i="7"/>
  <c r="F12" i="7"/>
  <c r="D15" i="10" s="1"/>
  <c r="E12" i="7"/>
  <c r="F11" i="7"/>
  <c r="D13" i="10" s="1"/>
  <c r="E11" i="7"/>
  <c r="F10" i="7"/>
  <c r="C14" i="10" s="1"/>
  <c r="E10" i="7"/>
  <c r="F9" i="7"/>
  <c r="C15" i="10" s="1"/>
  <c r="E9" i="7"/>
  <c r="F8" i="7"/>
  <c r="C13" i="10" s="1"/>
  <c r="E8" i="7"/>
  <c r="F7" i="7"/>
  <c r="B14" i="10" s="1"/>
  <c r="E7" i="7"/>
  <c r="F6" i="7"/>
  <c r="B15" i="10" s="1"/>
  <c r="E6" i="7"/>
  <c r="F5" i="7"/>
  <c r="B13" i="10" s="1"/>
  <c r="E5" i="7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I9" i="5"/>
  <c r="H9" i="5"/>
  <c r="G9" i="5"/>
  <c r="F9" i="5"/>
  <c r="E9" i="5"/>
  <c r="D9" i="5"/>
  <c r="C9" i="5"/>
  <c r="F44" i="4"/>
  <c r="E44" i="4"/>
  <c r="C44" i="4"/>
  <c r="B44" i="4"/>
  <c r="G43" i="4" s="1"/>
  <c r="H43" i="4"/>
  <c r="D43" i="4"/>
  <c r="H42" i="4"/>
  <c r="G42" i="4"/>
  <c r="D42" i="4"/>
  <c r="H41" i="4"/>
  <c r="G41" i="4"/>
  <c r="D41" i="4"/>
  <c r="H40" i="4"/>
  <c r="G40" i="4"/>
  <c r="D40" i="4"/>
  <c r="H39" i="4"/>
  <c r="D39" i="4"/>
  <c r="H38" i="4"/>
  <c r="D38" i="4"/>
  <c r="H37" i="4"/>
  <c r="D37" i="4"/>
  <c r="H36" i="4"/>
  <c r="D36" i="4"/>
  <c r="H35" i="4"/>
  <c r="D35" i="4"/>
  <c r="H34" i="4"/>
  <c r="D34" i="4"/>
  <c r="H33" i="4"/>
  <c r="D33" i="4"/>
  <c r="H32" i="4"/>
  <c r="D32" i="4"/>
  <c r="H31" i="4"/>
  <c r="D31" i="4"/>
  <c r="H30" i="4"/>
  <c r="D30" i="4"/>
  <c r="H29" i="4"/>
  <c r="D29" i="4"/>
  <c r="H28" i="4"/>
  <c r="D28" i="4"/>
  <c r="H27" i="4"/>
  <c r="D27" i="4"/>
  <c r="H26" i="4"/>
  <c r="D26" i="4"/>
  <c r="H25" i="4"/>
  <c r="D25" i="4"/>
  <c r="H24" i="4"/>
  <c r="D24" i="4"/>
  <c r="H23" i="4"/>
  <c r="D23" i="4"/>
  <c r="H22" i="4"/>
  <c r="D22" i="4"/>
  <c r="H21" i="4"/>
  <c r="D21" i="4"/>
  <c r="H20" i="4"/>
  <c r="D20" i="4"/>
  <c r="H19" i="4"/>
  <c r="D19" i="4"/>
  <c r="H18" i="4"/>
  <c r="D18" i="4"/>
  <c r="H17" i="4"/>
  <c r="D17" i="4"/>
  <c r="H16" i="4"/>
  <c r="D16" i="4"/>
  <c r="H15" i="4"/>
  <c r="D15" i="4"/>
  <c r="H14" i="4"/>
  <c r="D14" i="4"/>
  <c r="H10" i="4"/>
  <c r="G10" i="4"/>
  <c r="D10" i="4"/>
  <c r="H9" i="4"/>
  <c r="G9" i="4"/>
  <c r="D9" i="4"/>
  <c r="H8" i="4"/>
  <c r="G8" i="4"/>
  <c r="D8" i="4"/>
  <c r="H7" i="4"/>
  <c r="G7" i="4"/>
  <c r="D7" i="4"/>
  <c r="H6" i="4"/>
  <c r="G6" i="4"/>
  <c r="D6" i="4"/>
  <c r="H5" i="4"/>
  <c r="G5" i="4"/>
  <c r="D5" i="4"/>
  <c r="D11" i="3"/>
  <c r="C11" i="3"/>
  <c r="B11" i="3"/>
  <c r="H10" i="3"/>
  <c r="E10" i="3"/>
  <c r="F10" i="3" s="1"/>
  <c r="H9" i="3"/>
  <c r="F9" i="10" s="1"/>
  <c r="E9" i="3"/>
  <c r="H8" i="3"/>
  <c r="E9" i="10" s="1"/>
  <c r="E8" i="3"/>
  <c r="H7" i="3"/>
  <c r="D9" i="10" s="1"/>
  <c r="E7" i="3"/>
  <c r="H6" i="3"/>
  <c r="C9" i="10" s="1"/>
  <c r="E6" i="3"/>
  <c r="H5" i="3"/>
  <c r="B9" i="10" s="1"/>
  <c r="E5" i="3"/>
  <c r="B23" i="9" l="1"/>
  <c r="B22" i="9"/>
  <c r="H16" i="9"/>
  <c r="G16" i="9"/>
  <c r="H15" i="9"/>
  <c r="G15" i="9"/>
  <c r="H14" i="9"/>
  <c r="G14" i="9"/>
  <c r="H13" i="9"/>
  <c r="G13" i="9"/>
  <c r="H12" i="9"/>
  <c r="H8" i="9"/>
  <c r="G12" i="9"/>
  <c r="H11" i="9"/>
  <c r="G11" i="9"/>
  <c r="H10" i="9"/>
  <c r="G10" i="9"/>
  <c r="H9" i="9"/>
  <c r="G9" i="9"/>
  <c r="G5" i="9"/>
  <c r="H5" i="9"/>
  <c r="B24" i="9"/>
  <c r="G6" i="9"/>
  <c r="B21" i="9"/>
  <c r="G17" i="9"/>
  <c r="H6" i="9"/>
  <c r="G7" i="9"/>
  <c r="H7" i="9"/>
  <c r="G8" i="9"/>
  <c r="B26" i="9"/>
  <c r="G23" i="4"/>
  <c r="G22" i="4"/>
  <c r="G21" i="4"/>
  <c r="G20" i="4"/>
  <c r="G17" i="4"/>
  <c r="G16" i="4"/>
  <c r="G14" i="4"/>
  <c r="G19" i="4"/>
  <c r="G18" i="4"/>
  <c r="G15" i="4"/>
  <c r="G44" i="4"/>
  <c r="D44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F7" i="10"/>
  <c r="G9" i="3"/>
  <c r="F8" i="10" s="1"/>
  <c r="F9" i="3"/>
  <c r="E7" i="10"/>
  <c r="F8" i="3"/>
  <c r="G8" i="3"/>
  <c r="E8" i="10" s="1"/>
  <c r="D7" i="10"/>
  <c r="G7" i="3"/>
  <c r="D8" i="10" s="1"/>
  <c r="F7" i="3"/>
  <c r="C7" i="10"/>
  <c r="E11" i="3"/>
  <c r="G6" i="3"/>
  <c r="C8" i="10" s="1"/>
  <c r="F6" i="3"/>
  <c r="B7" i="10"/>
  <c r="G5" i="3"/>
  <c r="B8" i="10" s="1"/>
  <c r="F5" i="3"/>
</calcChain>
</file>

<file path=xl/sharedStrings.xml><?xml version="1.0" encoding="utf-8"?>
<sst xmlns="http://schemas.openxmlformats.org/spreadsheetml/2006/main" count="405" uniqueCount="280">
  <si>
    <t>여수지역상권데이터</t>
  </si>
  <si>
    <t>작성일 2026-08-24 · 분석대상 전남광주통합특별시 여수시 · 비교군 목포·순천·나주·광양시</t>
  </si>
  <si>
    <t>설계 방침</t>
  </si>
  <si>
    <t>여수시는 자치구가 없는 단일 시입니다.</t>
  </si>
  <si>
    <t>서울/대전판의 '자치구 비교' 축을 다음 3개 축으로 대체했습니다.</t>
  </si>
  <si>
    <t>축 1</t>
  </si>
  <si>
    <t>전남 5개 시 횡단 비교</t>
  </si>
  <si>
    <t>여수시의 상권 규모·활력을 인접 도시와 상대평가 (02·05·06 시트)</t>
  </si>
  <si>
    <t>축 2</t>
  </si>
  <si>
    <t>여수시 읍면동 30개 인구 분포</t>
  </si>
  <si>
    <t>시 내부에서 상권 후보지를 좁히는 용도 (03 시트)</t>
  </si>
  <si>
    <t>축 3</t>
  </si>
  <si>
    <t>여수시 19개 산업대분류 구조</t>
  </si>
  <si>
    <t>업종별 진입·퇴출 활력 진단 (07 시트)</t>
  </si>
  <si>
    <t>축 4</t>
  </si>
  <si>
    <t>관광 방문객 월별 계절성</t>
  </si>
  <si>
    <t>여수 상권의 최대 변수. 대전판에는 없던 시트 (08 시트)</t>
  </si>
  <si>
    <t>색상 범례</t>
  </si>
  <si>
    <t>의미</t>
  </si>
  <si>
    <t>조치</t>
  </si>
  <si>
    <t>파란 글씨</t>
  </si>
  <si>
    <t>공개 통계에서 실제로 수집해 입력한 값</t>
  </si>
  <si>
    <t>그대로 사용. 출처는 01_데이터카탈로그</t>
  </si>
  <si>
    <t>검은 글씨</t>
  </si>
  <si>
    <t>수식으로 계산되는 값</t>
  </si>
  <si>
    <t>수정하지 말 것</t>
  </si>
  <si>
    <t>노란 채움</t>
  </si>
  <si>
    <t>여수시 행 (분석 대상 강조)</t>
  </si>
  <si>
    <t>-</t>
  </si>
  <si>
    <t>회색 채움</t>
  </si>
  <si>
    <t>공개 통계가 제공하지 않는 값</t>
  </si>
  <si>
    <t>제외한 항목</t>
  </si>
  <si>
    <t>사유</t>
  </si>
  <si>
    <t>프랜차이즈/일반 구분</t>
  </si>
  <si>
    <t>KOSIS에 필드 없음. 소진공 상가정보 원자료 가공이 필요해 제외</t>
  </si>
  <si>
    <t>필요시 10_수집가이드 참조</t>
  </si>
  <si>
    <t>유동인구</t>
  </si>
  <si>
    <t>여수시 단위 공개 유동인구 통계 없음(대전은 시 자체 포털 보유)</t>
  </si>
  <si>
    <t>관광 방문객 수(08 시트)로 대체</t>
  </si>
  <si>
    <t>직장인구</t>
  </si>
  <si>
    <t>시군구 단위 종사자수는 있으나 갱신 지연</t>
  </si>
  <si>
    <t>활동기업 수로 대체</t>
  </si>
  <si>
    <t>연령대별 소비 스타일</t>
  </si>
  <si>
    <t>지역 분해를 제공하는 공개 소스 없음</t>
  </si>
  <si>
    <t>제외</t>
  </si>
  <si>
    <t>자치구별 생존율</t>
  </si>
  <si>
    <t>해당 없음(단일 시). 생존율은 시도 단위만 공표</t>
  </si>
  <si>
    <t>전남 시도값 사용(04 시트)</t>
  </si>
  <si>
    <t>주의</t>
  </si>
  <si>
    <t>본 파일의 '가게수/개업/폐업'은 통계청 기업생멸행정통계의 기업(사업자) 기준입니다.</t>
  </si>
  <si>
    <t>점포 기준이 아니므로 서울/대전 원본과 절대값 비교 불가. 도시 간 상대비교로 사용하십시오.</t>
  </si>
  <si>
    <t>데이터 카탈로그</t>
  </si>
  <si>
    <t>모든 소스는 2026-08-24에 직접 접속해 값을 추출함</t>
  </si>
  <si>
    <t>대상 시트</t>
  </si>
  <si>
    <t>소스명</t>
  </si>
  <si>
    <t>URL</t>
  </si>
  <si>
    <t>기준시점</t>
  </si>
  <si>
    <t>갱신주기</t>
  </si>
  <si>
    <t>최소 공간단위</t>
  </si>
  <si>
    <t>02 / 05 / 06 / 07</t>
  </si>
  <si>
    <t>KOSIS 기업생멸행정통계 — 시군구별 산업대분류별 기업 수 (DT_6BD1132)</t>
  </si>
  <si>
    <t>https://kosis.kr/statHtml/statHtml.do?orgId=101&amp;tblId=DT_6BD1132</t>
  </si>
  <si>
    <t>2024년(소멸은 2023년)</t>
  </si>
  <si>
    <t>연 1회</t>
  </si>
  <si>
    <t>시군구 × 산업대분류</t>
  </si>
  <si>
    <t>03</t>
  </si>
  <si>
    <t>행정안전부 주민등록 인구통계</t>
  </si>
  <si>
    <t>https://jumin.mois.go.kr/statMonth.do</t>
  </si>
  <si>
    <t>2026년 7월</t>
  </si>
  <si>
    <t>월</t>
  </si>
  <si>
    <t>읍면동</t>
  </si>
  <si>
    <t>04</t>
  </si>
  <si>
    <t>KOSIS 기업생멸행정통계 — 시도별 신생기업 생존율 (DT_6BD1102)</t>
  </si>
  <si>
    <t>https://kosis.kr/statHtml/statHtml.do?orgId=101&amp;tblId=DT_6BD1102</t>
  </si>
  <si>
    <t>2023년 코호트</t>
  </si>
  <si>
    <t>시도</t>
  </si>
  <si>
    <t>08</t>
  </si>
  <si>
    <t>KOSIS 전라남도여수시기본통계 — 주요 관광지 방문객수 (DT_732001_J011)</t>
  </si>
  <si>
    <t>https://kosis.kr (여수시 기본통계)</t>
  </si>
  <si>
    <t>2024년 (월별)</t>
  </si>
  <si>
    <t>여수시</t>
  </si>
  <si>
    <t>가게수 (활동기업 수, 2024년)</t>
  </si>
  <si>
    <t>출처: KOSIS 기업생멸행정통계 DT_6BD1132 · 단위: 개</t>
  </si>
  <si>
    <t>지역</t>
  </si>
  <si>
    <t>활동기업 전체</t>
  </si>
  <si>
    <t>도매 및 소매업</t>
  </si>
  <si>
    <t>숙박 및 음식점업</t>
  </si>
  <si>
    <t>생활밀착업종 계</t>
  </si>
  <si>
    <t>생활밀착 비중</t>
  </si>
  <si>
    <t>인구 1천명당 생활밀착점포</t>
  </si>
  <si>
    <t>숙박음식/도소매 비</t>
  </si>
  <si>
    <t>목포시</t>
  </si>
  <si>
    <t>순천시</t>
  </si>
  <si>
    <t>나주시</t>
  </si>
  <si>
    <t>광양시</t>
  </si>
  <si>
    <t>전남 전체</t>
  </si>
  <si>
    <t>여수 점유율</t>
  </si>
  <si>
    <t>※ '숙박음식/도소매 비'가 높을수록 소비형(관광·외식) 상권 성격이 강합니다.</t>
  </si>
  <si>
    <t>인구수</t>
  </si>
  <si>
    <t>출처: 행정안전부 주민등록 인구통계 2026년 7월 기준 · 단위: 명 / 세대</t>
  </si>
  <si>
    <t>총 인구수</t>
  </si>
  <si>
    <t>세대수</t>
  </si>
  <si>
    <t>세대당 인구</t>
  </si>
  <si>
    <t>남자</t>
  </si>
  <si>
    <t>여자</t>
  </si>
  <si>
    <t>남여 비율</t>
  </si>
  <si>
    <t>전남 대비 비중</t>
  </si>
  <si>
    <t>전남광주통합특별시</t>
  </si>
  <si>
    <t>여수시 읍면동별 인구 (상권 후보지 탐색용)</t>
  </si>
  <si>
    <t>시 대비 비중</t>
  </si>
  <si>
    <t>인구 순위</t>
  </si>
  <si>
    <t>돌산읍</t>
  </si>
  <si>
    <t>돌산읍우두출장소</t>
  </si>
  <si>
    <t>돌산읍죽포출장소</t>
  </si>
  <si>
    <t>소라면</t>
  </si>
  <si>
    <t>율촌면</t>
  </si>
  <si>
    <t>화양면</t>
  </si>
  <si>
    <t>남면</t>
  </si>
  <si>
    <t>화정면</t>
  </si>
  <si>
    <t>화정면개도출장소</t>
  </si>
  <si>
    <t>삼산면</t>
  </si>
  <si>
    <t>동문동</t>
  </si>
  <si>
    <t>한려동</t>
  </si>
  <si>
    <t>중앙동</t>
  </si>
  <si>
    <t>충무동</t>
  </si>
  <si>
    <t>광림동</t>
  </si>
  <si>
    <t>서강동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</si>
  <si>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</si>
  <si>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</si>
  <si>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</si>
  <si>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</si>
  <si>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</si>
  <si>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</si>
  <si>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</si>
  <si>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</si>
  <si>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</si>
  <si>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</si>
  <si>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</si>
  <si>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</si>
  <si>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</si>
  <si>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</si>
  <si>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여수시 합계</t>
  </si>
  <si>
    <t>※ 시전동·쌍봉동·소라면·문수동이 인구 상위권입니다. 배후수요 기준 1차 상권 후보로 검토하십시오.</t>
  </si>
  <si>
    <t>신생기업 생존율</t>
  </si>
  <si>
    <t>출처: KOSIS 기업생멸행정통계 DT_6BD1102 · 시도 단위만 공표되어 여수시 단독 값은 존재하지 않음</t>
  </si>
  <si>
    <t>기준연도</t>
  </si>
  <si>
    <t>1년 생존율</t>
  </si>
  <si>
    <t>2년</t>
  </si>
  <si>
    <t>3년</t>
  </si>
  <si>
    <t>4년</t>
  </si>
  <si>
    <t>5년</t>
  </si>
  <si>
    <t>6년</t>
  </si>
  <si>
    <t>7년</t>
  </si>
  <si>
    <t>전라남도</t>
  </si>
  <si>
    <t>2022</t>
  </si>
  <si>
    <t>2023</t>
  </si>
  <si>
    <t>전국</t>
  </si>
  <si>
    <t>전남 - 전국 격차</t>
  </si>
  <si>
    <t>※ 전남 신생기업은 3~5년 구간에서 전국 대비 생존율이 높습니다. 여수 상권 진입 시 중기 안정성 근거로 활용 가능합니다.</t>
  </si>
  <si>
    <t>※ 여수시 단독 생존율이 필요하면 LOCALDATA 인허가일·폐업일로 코호트 산출이 필요합니다(10_수집가이드).</t>
  </si>
  <si>
    <t>개업가게수 (신생기업 수)</t>
  </si>
  <si>
    <t>업종</t>
  </si>
  <si>
    <t>2023년</t>
  </si>
  <si>
    <t>2024년</t>
  </si>
  <si>
    <t>23→24 증감</t>
  </si>
  <si>
    <t>2023 신생률</t>
  </si>
  <si>
    <t>2024 신생률</t>
  </si>
  <si>
    <t>전체</t>
  </si>
  <si>
    <t>※ 여수 숙박·음식점업 신생률 15.3%는 전남 평균(15.0%)을 웃돌며, 도소매(10.3%)보다 뚜렷하게 높습니다.</t>
  </si>
  <si>
    <t>폐업가게수 (소멸기업 수)</t>
  </si>
  <si>
    <t>출처: KOSIS 기업생멸행정통계 DT_6BD1132 · 소멸기업은 확정에 1년이 더 걸려 2024년은 미공표</t>
  </si>
  <si>
    <t>2023 소멸률</t>
  </si>
  <si>
    <t>2023 순증(신생-소멸)</t>
  </si>
  <si>
    <t>2023 활력도(신생률-소멸률)</t>
  </si>
  <si>
    <t>※ 활력도는 2023년 신생률 - 2023년 소멸률(동일 연도)입니다. (+)면 진입이 퇴출보다 활발한 확장 국면, (-)면 축소 국면입니다.</t>
  </si>
  <si>
    <t>여수시 업종구조 (산업대분류 19개)</t>
  </si>
  <si>
    <t>출처: KOSIS 기업생멸행정통계 DT_6BD1132 · 여수시 · 단위: 개</t>
  </si>
  <si>
    <t>산업대분류</t>
  </si>
  <si>
    <t>2023 활동</t>
  </si>
  <si>
    <t>2023 신생</t>
  </si>
  <si>
    <t>2023 소멸</t>
  </si>
  <si>
    <t>2024 활동</t>
  </si>
  <si>
    <t>2024 신생</t>
  </si>
  <si>
    <t>2023 순증</t>
  </si>
  <si>
    <t>활력도</t>
  </si>
  <si>
    <t>농업, 임업 및 어업</t>
  </si>
  <si>
    <t>광업</t>
  </si>
  <si>
    <t>제조업</t>
  </si>
  <si>
    <t>전기, 가스, 증기 및 공기조절 공급업</t>
  </si>
  <si>
    <t>수도, 하수 및 폐기물처리, 원료재생업</t>
  </si>
  <si>
    <t>건설업</t>
  </si>
  <si>
    <t>운수 및 창고업</t>
  </si>
  <si>
    <t>정보통신업</t>
  </si>
  <si>
    <t>금융 및 보험업</t>
  </si>
  <si>
    <t>부동산업</t>
  </si>
  <si>
    <t>전문과학기술서비스업</t>
  </si>
  <si>
    <t>사업시설관리, 사업지원 및 임대 서비스업</t>
  </si>
  <si>
    <t>교육서비스업</t>
  </si>
  <si>
    <t>보건업 및 사회복지 서비스업</t>
  </si>
  <si>
    <t>예술, 스포츠 및 여가관련 서비스업</t>
  </si>
  <si>
    <t>협회 및 단체, 수리 및 기타 개인서비스업</t>
  </si>
  <si>
    <t>※ 노란 행은 상권 핵심 업종(도소매·숙박음식)입니다. 숙박음식은 2023 활력도 +2.7%p로 여수 상권의 성장 엔진입니다.</t>
  </si>
  <si>
    <t>※ 도소매는 2023 활력도 -0.2%p로 정체 국면입니다. 신규 진입 시 차별화 전략이 필요합니다.</t>
  </si>
  <si>
    <t>여수시 관광 방문객 (2024년, 월별)</t>
  </si>
  <si>
    <t>출처: KOSIS 전라남도여수시기본통계 — 주요 관광지 방문객수 (집계 관광지 36개소) · 단위: 명</t>
  </si>
  <si>
    <t>방문객 소계</t>
  </si>
  <si>
    <t>유료 관광지</t>
  </si>
  <si>
    <t>내국인</t>
  </si>
  <si>
    <t>외국인</t>
  </si>
  <si>
    <t>무료 관광지</t>
  </si>
  <si>
    <t>월 비중</t>
  </si>
  <si>
    <t>계절지수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</si>
  <si>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</si>
  <si>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</si>
  <si>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</si>
  <si>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</si>
  <si>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</si>
  <si>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</si>
  <si>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</si>
  <si>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</si>
  <si>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</si>
  <si>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</si>
  <si>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</si>
  <si>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</si>
  <si>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</si>
  <si>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파생 지표</t>
  </si>
  <si>
    <t>지표</t>
  </si>
  <si>
    <t>값</t>
  </si>
  <si>
    <t>해석</t>
  </si>
  <si>
    <t>연간 방문객 / 주민등록인구</t>
  </si>
  <si>
    <t>주민 1인당 연간 관광객 수. 관광 의존도 지표</t>
  </si>
  <si>
    <t>유료 관광지 비중</t>
  </si>
  <si>
    <t>지불의사 있는 방문객 비중</t>
  </si>
  <si>
    <t>외국인 비중</t>
  </si>
  <si>
    <t>인바운드 상권 잠재력</t>
  </si>
  <si>
    <t>성수기(5·8월) 비중</t>
  </si>
  <si>
    <t>두 달이 차지하는 연간 비중</t>
  </si>
  <si>
    <t>최성수기/최비수기 배율</t>
  </si>
  <si>
    <t>계절 변동폭. 클수록 비수기 리스크 큼</t>
  </si>
  <si>
    <t>숙박음식 점포당 연간 방문객</t>
  </si>
  <si>
    <t>숙박·음식점 1개소가 흡수하는 관광 수요</t>
  </si>
  <si>
    <t>※ 5월(여수밤바다 성수기)과 8월이 뚜렷한 쌍봉 피크입니다. 12월은 최저로 비수기 대응 전략이 필요합니다.</t>
  </si>
  <si>
    <t>전남 5개 시 상권 진단 요약</t>
  </si>
  <si>
    <t>02·03·05·06 시트를 참조하는 계산 시트입니다. 원본 값을 고치면 자동 반영됩니다.</t>
  </si>
  <si>
    <t>주민등록 인구 (명)</t>
  </si>
  <si>
    <t>배후 수요 규모</t>
  </si>
  <si>
    <t>활동기업 전체 (개)</t>
  </si>
  <si>
    <t>상권 총량</t>
  </si>
  <si>
    <t>생활밀착업종 점포 (개)</t>
  </si>
  <si>
    <t>도소매+숙박음식</t>
  </si>
  <si>
    <t>높을수록 공급 포화 / 관광 유입 가능성</t>
  </si>
  <si>
    <t>숙박음식 / 도소매 비</t>
  </si>
  <si>
    <t>높을수록 소비·관광형 상권</t>
  </si>
  <si>
    <t>2024 신생기업 (개)</t>
  </si>
  <si>
    <t>신규 진입 규모</t>
  </si>
  <si>
    <t>진입 활발도</t>
  </si>
  <si>
    <t>퇴출 압력</t>
  </si>
  <si>
    <t>2023 활력도 (신생률-소멸률)</t>
  </si>
  <si>
    <t>(+) 확장 / (-) 축소</t>
  </si>
  <si>
    <t>숙박음식 2023 활력도</t>
  </si>
  <si>
    <t>관광·외식 상권 확장세</t>
  </si>
  <si>
    <t>도소매 2023 활력도</t>
  </si>
  <si>
    <t>소매 상권 확장세</t>
  </si>
  <si>
    <t>여수시 진단 요약</t>
  </si>
  <si>
    <t>구분</t>
  </si>
  <si>
    <t>내용</t>
  </si>
  <si>
    <t>규모</t>
  </si>
  <si>
    <t>전남 5개 시 중 활동기업 수 1위(40,700개), 인구는 순천에 이어 2위.</t>
  </si>
  <si>
    <t>업종 성격</t>
  </si>
  <si>
    <t>숙박음식/도소매 비 0.92로 5개 시 중 최고. 소비·관광형 상권 성격이 가장 강함.</t>
  </si>
  <si>
    <t>성장 업종</t>
  </si>
  <si>
    <t>숙박·음식점업 2023 활력도 +2.7%p로 전체 평균(+1.8%p)을 상회하는 확장 국면. 다만 나주(+4.2%p)·광양(+3.1%p)보다는 낮음.</t>
  </si>
  <si>
    <t>정체 업종</t>
  </si>
  <si>
    <t>도매·소매업 2023 활력도 -0.2%p로 5개 시 중 유일한 (-). 신규 진입 시 차별화 없이는 경쟁 열위.</t>
  </si>
  <si>
    <t>관광 의존</t>
  </si>
  <si>
    <t>연간 관광객 1,153만 명으로 주민 1인당 44배. 상권 수요의 상당분이 외지 유입.</t>
  </si>
  <si>
    <t>리스크</t>
  </si>
  <si>
    <t>최성수기(5월)/최비수기(12월) 배율 1.94배. 비수기 4개월 운영 전략 필수.</t>
  </si>
  <si>
    <t>입지 후보</t>
  </si>
  <si>
    <t>배후인구 기준 시전동(43,036)·쌍봉동(31,100)·소라면(20,877)·문수동(18,017) 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</si>
</sst>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\+0.0%;\-0.0%;0.0%"/>
    <numFmt numFmtId="167" formatCode="#,##0;\(#,##0\);\-"/>
  </numFmts>
  <fonts count="10">
    <font>
      <sz val="11"/>
      <color theme="1"/>
      <name val="맑은 고딕"/>
      <family val="2"/>
      <scheme val="minor"/>
    </font>
    <font>
      <b/>
      <sz val="13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i/>
      <sz val="9"/>
      <color rgb="FF808080"/>
      <name val="Arial"/>
      <family val="2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6F54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DDF0E8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6" fillId="0" borderId="1" xfId="0" applyNumberFormat="1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0" fontId="4" fillId="4" borderId="1" xfId="0" applyFont="1" applyFill="1" applyBorder="1"/>
    <xf numFmtId="3" fontId="7" fillId="4" borderId="1" xfId="0" applyNumberFormat="1" applyFont="1" applyFill="1" applyBorder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2" fontId="5" fillId="4" borderId="1" xfId="0" applyNumberFormat="1" applyFont="1" applyFill="1" applyBorder="1"/>
    <xf numFmtId="0" fontId="4" fillId="5" borderId="1" xfId="0" applyFont="1" applyFill="1" applyBorder="1"/>
    <xf numFmtId="3" fontId="6" fillId="5" borderId="1" xfId="0" applyNumberFormat="1" applyFont="1" applyFill="1" applyBorder="1"/>
    <xf numFmtId="3" fontId="4" fillId="5" borderId="1" xfId="0" applyNumberFormat="1" applyFont="1" applyFill="1" applyBorder="1"/>
    <xf numFmtId="164" fontId="4" fillId="5" borderId="1" xfId="0" applyNumberFormat="1" applyFont="1" applyFill="1" applyBorder="1"/>
    <xf numFmtId="0" fontId="5" fillId="6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/>
    <xf numFmtId="0" fontId="8" fillId="0" borderId="0" xfId="0" applyFont="1"/>
    <xf numFmtId="1" fontId="5" fillId="0" borderId="1" xfId="0" applyNumberFormat="1" applyFont="1" applyBorder="1"/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66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0" fontId="5" fillId="4" borderId="1" xfId="0" applyFont="1" applyFill="1" applyBorder="1"/>
    <xf numFmtId="167" fontId="5" fillId="4" borderId="1" xfId="0" applyNumberFormat="1" applyFont="1" applyFill="1" applyBorder="1"/>
    <xf numFmtId="164" fontId="7" fillId="4" borderId="1" xfId="0" applyNumberFormat="1" applyFont="1" applyFill="1" applyBorder="1"/>
    <xf numFmtId="167" fontId="4" fillId="5" borderId="1" xfId="0" applyNumberFormat="1" applyFont="1" applyFill="1" applyBorder="1"/>
    <xf numFmtId="164" fontId="6" fillId="5" borderId="1" xfId="0" applyNumberFormat="1" applyFont="1" applyFill="1" applyBorder="1"/>
    <xf numFmtId="166" fontId="5" fillId="4" borderId="1" xfId="0" applyNumberFormat="1" applyFont="1" applyFill="1" applyBorder="1"/>
    <xf numFmtId="166" fontId="4" fillId="5" borderId="1" xfId="0" applyNumberFormat="1" applyFont="1" applyFill="1" applyBorder="1"/>
    <xf numFmtId="167" fontId="5" fillId="5" borderId="1" xfId="0" applyNumberFormat="1" applyFont="1" applyFill="1" applyBorder="1"/>
    <xf numFmtId="166" fontId="5" fillId="5" borderId="1" xfId="0" applyNumberFormat="1" applyFont="1" applyFill="1" applyBorder="1"/>
    <xf numFmtId="0" fontId="5" fillId="6" borderId="1" xfId="0" applyFont="1" applyFill="1" applyBorder="1"/>
    <xf numFmtId="3" fontId="6" fillId="4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10" fontId="5" fillId="0" borderId="1" xfId="0" applyNumberFormat="1" applyFont="1" applyBorder="1"/>
    <xf numFmtId="0" fontId="8" fillId="0" borderId="1" xfId="0" applyFont="1" applyBorder="1"/>
    <xf numFmtId="0" fontId="5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workbookViewId="0">
      <pane ySplit="4" topLeftCell="A5" activePane="bottomLeft" state="frozen"/>
      <selection pane="bottomLeft"/>
    </sheetView>
  </sheetViews>
  <sheetFormatPr defaultRowHeight="17.100000000000001"/>
  <cols>
    <col min="1" max="1" width="20" customWidth="1"/>
    <col min="2" max="2" width="58" customWidth="1"/>
    <col min="3" max="3" width="54" customWidth="1"/>
  </cols>
  <sheetData>
    <row r="1" spans="1:3" ht="17.45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 t="s">
        <v>5</v>
      </c>
      <c r="B5" s="5" t="s">
        <v>6</v>
      </c>
      <c r="C5" s="5" t="s">
        <v>7</v>
      </c>
    </row>
    <row r="6" spans="1:3">
      <c r="A6" s="4" t="s">
        <v>8</v>
      </c>
      <c r="B6" s="5" t="s">
        <v>9</v>
      </c>
      <c r="C6" s="5" t="s">
        <v>10</v>
      </c>
    </row>
    <row r="7" spans="1:3">
      <c r="A7" s="4" t="s">
        <v>11</v>
      </c>
      <c r="B7" s="5" t="s">
        <v>12</v>
      </c>
      <c r="C7" s="5" t="s">
        <v>13</v>
      </c>
    </row>
    <row r="8" spans="1:3">
      <c r="A8" s="4" t="s">
        <v>14</v>
      </c>
      <c r="B8" s="5" t="s">
        <v>15</v>
      </c>
      <c r="C8" s="5" t="s">
        <v>16</v>
      </c>
    </row>
    <row r="9" spans="1:3">
      <c r="A9" s="6"/>
      <c r="B9" s="6"/>
      <c r="C9" s="6"/>
    </row>
    <row r="10" spans="1:3">
      <c r="A10" s="3" t="s">
        <v>17</v>
      </c>
      <c r="B10" s="3" t="s">
        <v>18</v>
      </c>
      <c r="C10" s="3" t="s">
        <v>19</v>
      </c>
    </row>
    <row r="11" spans="1:3">
      <c r="A11" s="4" t="s">
        <v>20</v>
      </c>
      <c r="B11" s="5" t="s">
        <v>21</v>
      </c>
      <c r="C11" s="5" t="s">
        <v>22</v>
      </c>
    </row>
    <row r="12" spans="1:3">
      <c r="A12" s="4" t="s">
        <v>23</v>
      </c>
      <c r="B12" s="5" t="s">
        <v>24</v>
      </c>
      <c r="C12" s="5" t="s">
        <v>25</v>
      </c>
    </row>
    <row r="13" spans="1:3">
      <c r="A13" s="4" t="s">
        <v>26</v>
      </c>
      <c r="B13" s="5" t="s">
        <v>27</v>
      </c>
      <c r="C13" s="5" t="s">
        <v>28</v>
      </c>
    </row>
    <row r="14" spans="1:3">
      <c r="A14" s="4" t="s">
        <v>29</v>
      </c>
      <c r="B14" s="5" t="s">
        <v>30</v>
      </c>
      <c r="C14" s="5" t="s">
        <v>28</v>
      </c>
    </row>
    <row r="15" spans="1:3">
      <c r="A15" s="6"/>
      <c r="B15" s="6"/>
      <c r="C15" s="6"/>
    </row>
    <row r="16" spans="1:3">
      <c r="A16" s="3" t="s">
        <v>31</v>
      </c>
      <c r="B16" s="3" t="s">
        <v>32</v>
      </c>
      <c r="C16" s="3"/>
    </row>
    <row r="17" spans="1:3">
      <c r="A17" s="4" t="s">
        <v>33</v>
      </c>
      <c r="B17" s="5" t="s">
        <v>34</v>
      </c>
      <c r="C17" s="5" t="s">
        <v>35</v>
      </c>
    </row>
    <row r="18" spans="1:3">
      <c r="A18" s="4" t="s">
        <v>36</v>
      </c>
      <c r="B18" s="5" t="s">
        <v>37</v>
      </c>
      <c r="C18" s="5" t="s">
        <v>38</v>
      </c>
    </row>
    <row r="19" spans="1:3">
      <c r="A19" s="4" t="s">
        <v>39</v>
      </c>
      <c r="B19" s="5" t="s">
        <v>40</v>
      </c>
      <c r="C19" s="5" t="s">
        <v>41</v>
      </c>
    </row>
    <row r="20" spans="1:3">
      <c r="A20" s="4" t="s">
        <v>42</v>
      </c>
      <c r="B20" s="5" t="s">
        <v>43</v>
      </c>
      <c r="C20" s="5" t="s">
        <v>44</v>
      </c>
    </row>
    <row r="21" spans="1:3">
      <c r="A21" s="4" t="s">
        <v>45</v>
      </c>
      <c r="B21" s="5" t="s">
        <v>46</v>
      </c>
      <c r="C21" s="5" t="s">
        <v>47</v>
      </c>
    </row>
    <row r="22" spans="1:3">
      <c r="A22" s="6"/>
      <c r="B22" s="6"/>
      <c r="C22" s="6"/>
    </row>
    <row r="23" spans="1:3" ht="26.1">
      <c r="A23" s="7" t="s">
        <v>48</v>
      </c>
      <c r="B23" s="7" t="s">
        <v>49</v>
      </c>
      <c r="C23" s="7" t="s">
        <v>50</v>
      </c>
    </row>
    <row r="24" spans="1:3">
      <c r="A24" s="6"/>
      <c r="B24" s="6"/>
      <c r="C24" s="6"/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7.100000000000001"/>
  <cols>
    <col min="1" max="1" width="14" customWidth="1"/>
    <col min="2" max="2" width="34" customWidth="1"/>
    <col min="3" max="3" width="46" customWidth="1"/>
    <col min="4" max="4" width="16" customWidth="1"/>
    <col min="5" max="5" width="12" customWidth="1"/>
    <col min="6" max="6" width="18" customWidth="1"/>
  </cols>
  <sheetData>
    <row r="1" spans="1:6" ht="17.45">
      <c r="A1" s="1" t="s">
        <v>51</v>
      </c>
    </row>
    <row r="2" spans="1:6">
      <c r="A2" s="2" t="s">
        <v>52</v>
      </c>
    </row>
    <row r="4" spans="1:6">
      <c r="A4" s="8" t="s">
        <v>53</v>
      </c>
      <c r="B4" s="8" t="s">
        <v>54</v>
      </c>
      <c r="C4" s="8" t="s">
        <v>55</v>
      </c>
      <c r="D4" s="8" t="s">
        <v>56</v>
      </c>
      <c r="E4" s="8" t="s">
        <v>57</v>
      </c>
      <c r="F4" s="8" t="s">
        <v>58</v>
      </c>
    </row>
    <row r="5" spans="1:6" ht="24.95">
      <c r="A5" s="5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</row>
    <row r="6" spans="1:6">
      <c r="A6" s="5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70</v>
      </c>
    </row>
    <row r="7" spans="1:6" ht="24.95">
      <c r="A7" s="5" t="s">
        <v>71</v>
      </c>
      <c r="B7" s="5" t="s">
        <v>72</v>
      </c>
      <c r="C7" s="5" t="s">
        <v>73</v>
      </c>
      <c r="D7" s="5" t="s">
        <v>74</v>
      </c>
      <c r="E7" s="5" t="s">
        <v>63</v>
      </c>
      <c r="F7" s="5" t="s">
        <v>75</v>
      </c>
    </row>
    <row r="8" spans="1:6" ht="24.95">
      <c r="A8" s="5" t="s">
        <v>76</v>
      </c>
      <c r="B8" s="5" t="s">
        <v>77</v>
      </c>
      <c r="C8" s="5" t="s">
        <v>78</v>
      </c>
      <c r="D8" s="5" t="s">
        <v>79</v>
      </c>
      <c r="E8" s="5" t="s">
        <v>63</v>
      </c>
      <c r="F8" s="5" t="s">
        <v>80</v>
      </c>
    </row>
    <row r="9" spans="1:6">
      <c r="A9" s="6"/>
      <c r="B9" s="6"/>
      <c r="C9" s="6"/>
      <c r="D9" s="6"/>
      <c r="E9" s="6"/>
      <c r="F9" s="6"/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tabSelected="1" workbookViewId="0">
      <pane ySplit="4" topLeftCell="A5" activePane="bottomLeft" state="frozen"/>
      <selection pane="bottomLeft" activeCell="G22" sqref="G22"/>
    </sheetView>
  </sheetViews>
  <sheetFormatPr defaultRowHeight="17.100000000000001"/>
  <cols>
    <col min="1" max="1" width="12" customWidth="1"/>
    <col min="2" max="6" width="16" customWidth="1"/>
    <col min="7" max="7" width="21.625" customWidth="1"/>
    <col min="8" max="8" width="18" customWidth="1"/>
  </cols>
  <sheetData>
    <row r="1" spans="1:8" ht="17.45">
      <c r="A1" s="1" t="s">
        <v>81</v>
      </c>
    </row>
    <row r="2" spans="1:8">
      <c r="A2" s="2" t="s">
        <v>82</v>
      </c>
    </row>
    <row r="4" spans="1:8" ht="26.1">
      <c r="A4" s="8" t="s">
        <v>83</v>
      </c>
      <c r="B4" s="8" t="s">
        <v>84</v>
      </c>
      <c r="C4" s="8" t="s">
        <v>85</v>
      </c>
      <c r="D4" s="8" t="s">
        <v>86</v>
      </c>
      <c r="E4" s="8" t="s">
        <v>87</v>
      </c>
      <c r="F4" s="8" t="s">
        <v>88</v>
      </c>
      <c r="G4" s="8" t="s">
        <v>89</v>
      </c>
      <c r="H4" s="8" t="s">
        <v>90</v>
      </c>
    </row>
    <row r="5" spans="1:8">
      <c r="A5" s="9" t="s">
        <v>91</v>
      </c>
      <c r="B5" s="10">
        <v>29821</v>
      </c>
      <c r="C5" s="10">
        <v>7134</v>
      </c>
      <c r="D5" s="10">
        <v>5027</v>
      </c>
      <c r="E5" s="11">
        <f t="shared" ref="E5:E10" si="0">C5+D5</f>
        <v>12161</v>
      </c>
      <c r="F5" s="12">
        <f t="shared" ref="F5:F10" si="1">IFERROR(E5/B5,0)</f>
        <v>0.40779987257301903</v>
      </c>
      <c r="G5" s="13">
        <f>IFERROR(E5/('03_인구수'!B5/1000),0)</f>
        <v>61.040004015459523</v>
      </c>
      <c r="H5" s="14">
        <f t="shared" ref="H5:H10" si="2">IFERROR(D5/C5,0)</f>
        <v>0.70465377067563784</v>
      </c>
    </row>
    <row r="6" spans="1:8">
      <c r="A6" s="15" t="s">
        <v>80</v>
      </c>
      <c r="B6" s="16">
        <v>40700</v>
      </c>
      <c r="C6" s="16">
        <v>7899</v>
      </c>
      <c r="D6" s="16">
        <v>7276</v>
      </c>
      <c r="E6" s="17">
        <f t="shared" si="0"/>
        <v>15175</v>
      </c>
      <c r="F6" s="18">
        <f t="shared" si="1"/>
        <v>0.37285012285012287</v>
      </c>
      <c r="G6" s="19">
        <f>IFERROR(E6/('03_인구수'!B6/1000),0)</f>
        <v>58.322764133902147</v>
      </c>
      <c r="H6" s="20">
        <f t="shared" si="2"/>
        <v>0.92112925686795799</v>
      </c>
    </row>
    <row r="7" spans="1:8">
      <c r="A7" s="9" t="s">
        <v>92</v>
      </c>
      <c r="B7" s="10">
        <v>35964</v>
      </c>
      <c r="C7" s="10">
        <v>8127</v>
      </c>
      <c r="D7" s="10">
        <v>5418</v>
      </c>
      <c r="E7" s="11">
        <f t="shared" si="0"/>
        <v>13545</v>
      </c>
      <c r="F7" s="12">
        <f t="shared" si="1"/>
        <v>0.3766266266266266</v>
      </c>
      <c r="G7" s="13">
        <f>IFERROR(E7/('03_인구수'!B7/1000),0)</f>
        <v>49.482524942188192</v>
      </c>
      <c r="H7" s="14">
        <f t="shared" si="2"/>
        <v>0.66666666666666663</v>
      </c>
    </row>
    <row r="8" spans="1:8">
      <c r="A8" s="9" t="s">
        <v>93</v>
      </c>
      <c r="B8" s="10">
        <v>19835</v>
      </c>
      <c r="C8" s="10">
        <v>3305</v>
      </c>
      <c r="D8" s="10">
        <v>2197</v>
      </c>
      <c r="E8" s="11">
        <f t="shared" si="0"/>
        <v>5502</v>
      </c>
      <c r="F8" s="12">
        <f t="shared" si="1"/>
        <v>0.27738845475170154</v>
      </c>
      <c r="G8" s="13">
        <f>IFERROR(E8/('03_인구수'!B8/1000),0)</f>
        <v>47.146933564126513</v>
      </c>
      <c r="H8" s="14">
        <f t="shared" si="2"/>
        <v>0.66475037821482608</v>
      </c>
    </row>
    <row r="9" spans="1:8">
      <c r="A9" s="9" t="s">
        <v>94</v>
      </c>
      <c r="B9" s="10">
        <v>20315</v>
      </c>
      <c r="C9" s="10">
        <v>3895</v>
      </c>
      <c r="D9" s="10">
        <v>3439</v>
      </c>
      <c r="E9" s="11">
        <f t="shared" si="0"/>
        <v>7334</v>
      </c>
      <c r="F9" s="12">
        <f t="shared" si="1"/>
        <v>0.3610140290425794</v>
      </c>
      <c r="G9" s="13">
        <f>IFERROR(E9/('03_인구수'!B9/1000),0)</f>
        <v>47.0191500137839</v>
      </c>
      <c r="H9" s="14">
        <f t="shared" si="2"/>
        <v>0.88292682926829269</v>
      </c>
    </row>
    <row r="10" spans="1:8">
      <c r="A10" s="21" t="s">
        <v>95</v>
      </c>
      <c r="B10" s="22">
        <v>257432</v>
      </c>
      <c r="C10" s="22">
        <v>52399</v>
      </c>
      <c r="D10" s="22">
        <v>38439</v>
      </c>
      <c r="E10" s="23">
        <f t="shared" si="0"/>
        <v>90838</v>
      </c>
      <c r="F10" s="24">
        <f t="shared" si="1"/>
        <v>0.3528621150439728</v>
      </c>
      <c r="G10" s="25" t="s">
        <v>28</v>
      </c>
      <c r="H10" s="26">
        <f t="shared" si="2"/>
        <v>0.73358270195996111</v>
      </c>
    </row>
    <row r="11" spans="1:8">
      <c r="A11" s="9" t="s">
        <v>96</v>
      </c>
      <c r="B11" s="12">
        <f>IFERROR(B6/B10,0)</f>
        <v>0.15810000310761677</v>
      </c>
      <c r="C11" s="12">
        <f>IFERROR(C6/C10,0)</f>
        <v>0.15074715166319969</v>
      </c>
      <c r="D11" s="12">
        <f>IFERROR(D6/D10,0)</f>
        <v>0.18928692213637191</v>
      </c>
      <c r="E11" s="12">
        <f>IFERROR(E6/E10,0)</f>
        <v>0.16705563750853167</v>
      </c>
    </row>
    <row r="13" spans="1:8">
      <c r="A13" s="27" t="s">
        <v>97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showGridLines="0" workbookViewId="0">
      <pane ySplit="4" topLeftCell="A19" activePane="bottomLeft" state="frozen"/>
      <selection pane="bottomLeft"/>
    </sheetView>
  </sheetViews>
  <sheetFormatPr defaultRowHeight="17.100000000000001"/>
  <cols>
    <col min="1" max="2" width="14" customWidth="1"/>
    <col min="3" max="6" width="12" customWidth="1"/>
    <col min="7" max="8" width="14" customWidth="1"/>
  </cols>
  <sheetData>
    <row r="1" spans="1:8" ht="17.45">
      <c r="A1" s="1" t="s">
        <v>98</v>
      </c>
    </row>
    <row r="2" spans="1:8">
      <c r="A2" s="2" t="s">
        <v>99</v>
      </c>
    </row>
    <row r="4" spans="1:8">
      <c r="A4" s="8" t="s">
        <v>83</v>
      </c>
      <c r="B4" s="8" t="s">
        <v>100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</row>
    <row r="5" spans="1:8">
      <c r="A5" s="9" t="s">
        <v>91</v>
      </c>
      <c r="B5" s="10">
        <v>199230</v>
      </c>
      <c r="C5" s="10">
        <v>102499</v>
      </c>
      <c r="D5" s="14">
        <f t="shared" ref="D5:D10" si="0">IFERROR(B5/C5,0)</f>
        <v>1.9437262802563928</v>
      </c>
      <c r="E5" s="10">
        <v>99085</v>
      </c>
      <c r="F5" s="10">
        <v>100145</v>
      </c>
      <c r="G5" s="14">
        <f t="shared" ref="G5:G10" si="1">IFERROR(E5/F5,0)</f>
        <v>0.98941534774576867</v>
      </c>
      <c r="H5" s="12">
        <f t="shared" ref="H5:H10" si="2">IFERROR(B5/$B$10,0)</f>
        <v>6.3091852274558977E-2</v>
      </c>
    </row>
    <row r="6" spans="1:8">
      <c r="A6" s="15" t="s">
        <v>80</v>
      </c>
      <c r="B6" s="16">
        <v>260190</v>
      </c>
      <c r="C6" s="16">
        <v>127214</v>
      </c>
      <c r="D6" s="20">
        <f t="shared" si="0"/>
        <v>2.0452937569764336</v>
      </c>
      <c r="E6" s="16">
        <v>132132</v>
      </c>
      <c r="F6" s="16">
        <v>128058</v>
      </c>
      <c r="G6" s="20">
        <f t="shared" si="1"/>
        <v>1.0318137094129223</v>
      </c>
      <c r="H6" s="18">
        <f t="shared" si="2"/>
        <v>8.2396572018860109E-2</v>
      </c>
    </row>
    <row r="7" spans="1:8">
      <c r="A7" s="9" t="s">
        <v>92</v>
      </c>
      <c r="B7" s="10">
        <v>273733</v>
      </c>
      <c r="C7" s="10">
        <v>128139</v>
      </c>
      <c r="D7" s="14">
        <f t="shared" si="0"/>
        <v>2.1362192618952855</v>
      </c>
      <c r="E7" s="10">
        <v>136571</v>
      </c>
      <c r="F7" s="10">
        <v>137162</v>
      </c>
      <c r="G7" s="14">
        <f t="shared" si="1"/>
        <v>0.99569122643297703</v>
      </c>
      <c r="H7" s="12">
        <f t="shared" si="2"/>
        <v>8.6685348585413088E-2</v>
      </c>
    </row>
    <row r="8" spans="1:8">
      <c r="A8" s="9" t="s">
        <v>93</v>
      </c>
      <c r="B8" s="10">
        <v>116699</v>
      </c>
      <c r="C8" s="10">
        <v>60241</v>
      </c>
      <c r="D8" s="14">
        <f t="shared" si="0"/>
        <v>1.9372022376786573</v>
      </c>
      <c r="E8" s="10">
        <v>59104</v>
      </c>
      <c r="F8" s="10">
        <v>57595</v>
      </c>
      <c r="G8" s="14">
        <f t="shared" si="1"/>
        <v>1.0262001909888012</v>
      </c>
      <c r="H8" s="12">
        <f t="shared" si="2"/>
        <v>3.6956061178480937E-2</v>
      </c>
    </row>
    <row r="9" spans="1:8">
      <c r="A9" s="9" t="s">
        <v>94</v>
      </c>
      <c r="B9" s="10">
        <v>155979</v>
      </c>
      <c r="C9" s="10">
        <v>74204</v>
      </c>
      <c r="D9" s="14">
        <f t="shared" si="0"/>
        <v>2.1020295401865128</v>
      </c>
      <c r="E9" s="10">
        <v>81855</v>
      </c>
      <c r="F9" s="10">
        <v>74124</v>
      </c>
      <c r="G9" s="14">
        <f t="shared" si="1"/>
        <v>1.1042982030111705</v>
      </c>
      <c r="H9" s="12">
        <f t="shared" si="2"/>
        <v>4.9395191617394134E-2</v>
      </c>
    </row>
    <row r="10" spans="1:8">
      <c r="A10" s="21" t="s">
        <v>107</v>
      </c>
      <c r="B10" s="22">
        <v>3157777</v>
      </c>
      <c r="C10" s="22">
        <v>1579042</v>
      </c>
      <c r="D10" s="26">
        <f t="shared" si="0"/>
        <v>1.9998055783190061</v>
      </c>
      <c r="E10" s="22">
        <v>1579191</v>
      </c>
      <c r="F10" s="22">
        <v>1578586</v>
      </c>
      <c r="G10" s="26">
        <f t="shared" si="1"/>
        <v>1.0003832543808193</v>
      </c>
      <c r="H10" s="24">
        <f t="shared" si="2"/>
        <v>1</v>
      </c>
    </row>
    <row r="12" spans="1:8" ht="17.45">
      <c r="A12" s="1" t="s">
        <v>108</v>
      </c>
    </row>
    <row r="13" spans="1:8">
      <c r="A13" s="8" t="s">
        <v>70</v>
      </c>
      <c r="B13" s="8" t="s">
        <v>100</v>
      </c>
      <c r="C13" s="8" t="s">
        <v>101</v>
      </c>
      <c r="D13" s="8" t="s">
        <v>102</v>
      </c>
      <c r="E13" s="8" t="s">
        <v>103</v>
      </c>
      <c r="F13" s="8" t="s">
        <v>104</v>
      </c>
      <c r="G13" s="8" t="s">
        <v>109</v>
      </c>
      <c r="H13" s="8" t="s">
        <v>110</v>
      </c>
    </row>
    <row r="14" spans="1:8">
      <c r="A14" s="9" t="s">
        <v>111</v>
      </c>
      <c r="B14" s="10">
        <v>2247</v>
      </c>
      <c r="C14" s="10">
        <v>1378</v>
      </c>
      <c r="D14" s="14">
        <f t="shared" ref="D14:D44" si="3">IFERROR(B14/C14,0)</f>
        <v>1.6306240928882438</v>
      </c>
      <c r="E14" s="10">
        <v>1149</v>
      </c>
      <c r="F14" s="10">
        <v>1098</v>
      </c>
      <c r="G14" s="12">
        <f t="shared" ref="G14:G43" si="4">IFERROR(B14/$B$44,0)</f>
        <v>8.6359967715899915E-3</v>
      </c>
      <c r="H14" s="28">
        <f t="shared" ref="H14:H43" si="5">RANK(B14,$B$14:$B$43)</f>
        <v>24</v>
      </c>
    </row>
    <row r="15" spans="1:8">
      <c r="A15" s="9" t="s">
        <v>112</v>
      </c>
      <c r="B15" s="10">
        <v>7837</v>
      </c>
      <c r="C15" s="10">
        <v>4262</v>
      </c>
      <c r="D15" s="14">
        <f t="shared" si="3"/>
        <v>1.838808071328015</v>
      </c>
      <c r="E15" s="10">
        <v>4080</v>
      </c>
      <c r="F15" s="10">
        <v>3757</v>
      </c>
      <c r="G15" s="12">
        <f t="shared" si="4"/>
        <v>3.0120296706253123E-2</v>
      </c>
      <c r="H15" s="28">
        <f t="shared" si="5"/>
        <v>11</v>
      </c>
    </row>
    <row r="16" spans="1:8">
      <c r="A16" s="9" t="s">
        <v>113</v>
      </c>
      <c r="B16" s="10">
        <v>1709</v>
      </c>
      <c r="C16" s="10">
        <v>1020</v>
      </c>
      <c r="D16" s="14">
        <f t="shared" si="3"/>
        <v>1.6754901960784314</v>
      </c>
      <c r="E16" s="10">
        <v>836</v>
      </c>
      <c r="F16" s="10">
        <v>873</v>
      </c>
      <c r="G16" s="12">
        <f t="shared" si="4"/>
        <v>6.5682770283254548E-3</v>
      </c>
      <c r="H16" s="28">
        <f t="shared" si="5"/>
        <v>27</v>
      </c>
    </row>
    <row r="17" spans="1:8">
      <c r="A17" s="9" t="s">
        <v>114</v>
      </c>
      <c r="B17" s="10">
        <v>20877</v>
      </c>
      <c r="C17" s="10">
        <v>9365</v>
      </c>
      <c r="D17" s="14">
        <f t="shared" si="3"/>
        <v>2.2292578750667378</v>
      </c>
      <c r="E17" s="10">
        <v>10540</v>
      </c>
      <c r="F17" s="10">
        <v>10337</v>
      </c>
      <c r="G17" s="12">
        <f t="shared" si="4"/>
        <v>8.0237518736308078E-2</v>
      </c>
      <c r="H17" s="28">
        <f t="shared" si="5"/>
        <v>3</v>
      </c>
    </row>
    <row r="18" spans="1:8">
      <c r="A18" s="9" t="s">
        <v>115</v>
      </c>
      <c r="B18" s="10">
        <v>6012</v>
      </c>
      <c r="C18" s="10">
        <v>3367</v>
      </c>
      <c r="D18" s="14">
        <f t="shared" si="3"/>
        <v>1.7855657855657856</v>
      </c>
      <c r="E18" s="10">
        <v>3095</v>
      </c>
      <c r="F18" s="10">
        <v>2917</v>
      </c>
      <c r="G18" s="12">
        <f t="shared" si="4"/>
        <v>2.3106191629194049E-2</v>
      </c>
      <c r="H18" s="28">
        <f t="shared" si="5"/>
        <v>14</v>
      </c>
    </row>
    <row r="19" spans="1:8">
      <c r="A19" s="9" t="s">
        <v>116</v>
      </c>
      <c r="B19" s="10">
        <v>5797</v>
      </c>
      <c r="C19" s="10">
        <v>3387</v>
      </c>
      <c r="D19" s="14">
        <f t="shared" si="3"/>
        <v>1.7115441393563626</v>
      </c>
      <c r="E19" s="10">
        <v>2984</v>
      </c>
      <c r="F19" s="10">
        <v>2813</v>
      </c>
      <c r="G19" s="12">
        <f t="shared" si="4"/>
        <v>2.2279872400937775E-2</v>
      </c>
      <c r="H19" s="28">
        <f t="shared" si="5"/>
        <v>15</v>
      </c>
    </row>
    <row r="20" spans="1:8">
      <c r="A20" s="9" t="s">
        <v>117</v>
      </c>
      <c r="B20" s="10">
        <v>2500</v>
      </c>
      <c r="C20" s="10">
        <v>1619</v>
      </c>
      <c r="D20" s="14">
        <f t="shared" si="3"/>
        <v>1.5441630636195183</v>
      </c>
      <c r="E20" s="10">
        <v>1297</v>
      </c>
      <c r="F20" s="10">
        <v>1203</v>
      </c>
      <c r="G20" s="12">
        <f t="shared" si="4"/>
        <v>9.6083631192590037E-3</v>
      </c>
      <c r="H20" s="28">
        <f t="shared" si="5"/>
        <v>22</v>
      </c>
    </row>
    <row r="21" spans="1:8">
      <c r="A21" s="9" t="s">
        <v>118</v>
      </c>
      <c r="B21" s="10">
        <v>1256</v>
      </c>
      <c r="C21" s="10">
        <v>793</v>
      </c>
      <c r="D21" s="14">
        <f t="shared" si="3"/>
        <v>1.5838587641866331</v>
      </c>
      <c r="E21" s="10">
        <v>653</v>
      </c>
      <c r="F21" s="10">
        <v>603</v>
      </c>
      <c r="G21" s="12">
        <f t="shared" si="4"/>
        <v>4.8272416311157234E-3</v>
      </c>
      <c r="H21" s="28">
        <f t="shared" si="5"/>
        <v>28</v>
      </c>
    </row>
    <row r="22" spans="1:8">
      <c r="A22" s="9" t="s">
        <v>119</v>
      </c>
      <c r="B22" s="10">
        <v>734</v>
      </c>
      <c r="C22" s="10">
        <v>475</v>
      </c>
      <c r="D22" s="14">
        <f t="shared" si="3"/>
        <v>1.5452631578947369</v>
      </c>
      <c r="E22" s="10">
        <v>388</v>
      </c>
      <c r="F22" s="10">
        <v>346</v>
      </c>
      <c r="G22" s="12">
        <f t="shared" si="4"/>
        <v>2.8210154118144433E-3</v>
      </c>
      <c r="H22" s="28">
        <f t="shared" si="5"/>
        <v>30</v>
      </c>
    </row>
    <row r="23" spans="1:8">
      <c r="A23" s="9" t="s">
        <v>120</v>
      </c>
      <c r="B23" s="10">
        <v>1948</v>
      </c>
      <c r="C23" s="10">
        <v>1226</v>
      </c>
      <c r="D23" s="14">
        <f t="shared" si="3"/>
        <v>1.5889070146818924</v>
      </c>
      <c r="E23" s="10">
        <v>1108</v>
      </c>
      <c r="F23" s="10">
        <v>840</v>
      </c>
      <c r="G23" s="12">
        <f t="shared" si="4"/>
        <v>7.486836542526615E-3</v>
      </c>
      <c r="H23" s="28">
        <f t="shared" si="5"/>
        <v>25</v>
      </c>
    </row>
    <row r="24" spans="1:8">
      <c r="A24" s="9" t="s">
        <v>121</v>
      </c>
      <c r="B24" s="10">
        <v>3876</v>
      </c>
      <c r="C24" s="10">
        <v>2205</v>
      </c>
      <c r="D24" s="14">
        <f t="shared" si="3"/>
        <v>1.7578231292517006</v>
      </c>
      <c r="E24" s="10">
        <v>1924</v>
      </c>
      <c r="F24" s="10">
        <v>1952</v>
      </c>
      <c r="G24" s="12">
        <f t="shared" si="4"/>
        <v>1.4896806180099158E-2</v>
      </c>
      <c r="H24" s="28">
        <f t="shared" si="5"/>
        <v>18</v>
      </c>
    </row>
    <row r="25" spans="1:8">
      <c r="A25" s="9" t="s">
        <v>122</v>
      </c>
      <c r="B25" s="10">
        <v>2499</v>
      </c>
      <c r="C25" s="10">
        <v>1577</v>
      </c>
      <c r="D25" s="14">
        <f t="shared" si="3"/>
        <v>1.5846544071020925</v>
      </c>
      <c r="E25" s="10">
        <v>1236</v>
      </c>
      <c r="F25" s="10">
        <v>1263</v>
      </c>
      <c r="G25" s="12">
        <f t="shared" si="4"/>
        <v>9.6045197740113001E-3</v>
      </c>
      <c r="H25" s="28">
        <f t="shared" si="5"/>
        <v>23</v>
      </c>
    </row>
    <row r="26" spans="1:8">
      <c r="A26" s="9" t="s">
        <v>123</v>
      </c>
      <c r="B26" s="10">
        <v>3536</v>
      </c>
      <c r="C26" s="10">
        <v>2044</v>
      </c>
      <c r="D26" s="14">
        <f t="shared" si="3"/>
        <v>1.7299412915851271</v>
      </c>
      <c r="E26" s="10">
        <v>1724</v>
      </c>
      <c r="F26" s="10">
        <v>1812</v>
      </c>
      <c r="G26" s="12">
        <f t="shared" si="4"/>
        <v>1.3590068795879933E-2</v>
      </c>
      <c r="H26" s="28">
        <f t="shared" si="5"/>
        <v>20</v>
      </c>
    </row>
    <row r="27" spans="1:8">
      <c r="A27" s="9" t="s">
        <v>124</v>
      </c>
      <c r="B27" s="10">
        <v>3233</v>
      </c>
      <c r="C27" s="10">
        <v>1981</v>
      </c>
      <c r="D27" s="14">
        <f t="shared" si="3"/>
        <v>1.6320040383644623</v>
      </c>
      <c r="E27" s="10">
        <v>1649</v>
      </c>
      <c r="F27" s="10">
        <v>1584</v>
      </c>
      <c r="G27" s="12">
        <f t="shared" si="4"/>
        <v>1.2425535185825743E-2</v>
      </c>
      <c r="H27" s="28">
        <f t="shared" si="5"/>
        <v>21</v>
      </c>
    </row>
    <row r="28" spans="1:8">
      <c r="A28" s="9" t="s">
        <v>125</v>
      </c>
      <c r="B28" s="10">
        <v>5744</v>
      </c>
      <c r="C28" s="10">
        <v>3120</v>
      </c>
      <c r="D28" s="14">
        <f t="shared" si="3"/>
        <v>1.8410256410256409</v>
      </c>
      <c r="E28" s="10">
        <v>2968</v>
      </c>
      <c r="F28" s="10">
        <v>2776</v>
      </c>
      <c r="G28" s="12">
        <f t="shared" si="4"/>
        <v>2.2076175102809487E-2</v>
      </c>
      <c r="H28" s="28">
        <f t="shared" si="5"/>
        <v>16</v>
      </c>
    </row>
    <row r="29" spans="1:8">
      <c r="A29" s="9" t="s">
        <v>126</v>
      </c>
      <c r="B29" s="10">
        <v>3655</v>
      </c>
      <c r="C29" s="10">
        <v>2020</v>
      </c>
      <c r="D29" s="14">
        <f t="shared" si="3"/>
        <v>1.8094059405940595</v>
      </c>
      <c r="E29" s="10">
        <v>1800</v>
      </c>
      <c r="F29" s="10">
        <v>1855</v>
      </c>
      <c r="G29" s="12">
        <f t="shared" si="4"/>
        <v>1.4047426880356663E-2</v>
      </c>
      <c r="H29" s="28">
        <f t="shared" si="5"/>
        <v>19</v>
      </c>
    </row>
    <row r="30" spans="1:8">
      <c r="A30" s="9" t="s">
        <v>127</v>
      </c>
      <c r="B30" s="10">
        <v>4390</v>
      </c>
      <c r="C30" s="10">
        <v>2607</v>
      </c>
      <c r="D30" s="14">
        <f t="shared" si="3"/>
        <v>1.683927886459532</v>
      </c>
      <c r="E30" s="10">
        <v>2176</v>
      </c>
      <c r="F30" s="10">
        <v>2214</v>
      </c>
      <c r="G30" s="12">
        <f t="shared" si="4"/>
        <v>1.6872285637418809E-2</v>
      </c>
      <c r="H30" s="28">
        <f t="shared" si="5"/>
        <v>17</v>
      </c>
    </row>
    <row r="31" spans="1:8">
      <c r="A31" s="9" t="s">
        <v>128</v>
      </c>
      <c r="B31" s="10">
        <v>9567</v>
      </c>
      <c r="C31" s="10">
        <v>4994</v>
      </c>
      <c r="D31" s="14">
        <f t="shared" si="3"/>
        <v>1.9156988386063276</v>
      </c>
      <c r="E31" s="10">
        <v>4802</v>
      </c>
      <c r="F31" s="10">
        <v>4765</v>
      </c>
      <c r="G31" s="12">
        <f t="shared" si="4"/>
        <v>3.6769283984780354E-2</v>
      </c>
      <c r="H31" s="28">
        <f t="shared" si="5"/>
        <v>9</v>
      </c>
    </row>
    <row r="32" spans="1:8">
      <c r="A32" s="9" t="s">
        <v>129</v>
      </c>
      <c r="B32" s="10">
        <v>6890</v>
      </c>
      <c r="C32" s="10">
        <v>3138</v>
      </c>
      <c r="D32" s="14">
        <f t="shared" si="3"/>
        <v>2.195666029318037</v>
      </c>
      <c r="E32" s="10">
        <v>3396</v>
      </c>
      <c r="F32" s="10">
        <v>3494</v>
      </c>
      <c r="G32" s="12">
        <f t="shared" si="4"/>
        <v>2.6480648756677813E-2</v>
      </c>
      <c r="H32" s="28">
        <f t="shared" si="5"/>
        <v>13</v>
      </c>
    </row>
    <row r="33" spans="1:8">
      <c r="A33" s="9" t="s">
        <v>130</v>
      </c>
      <c r="B33" s="10">
        <v>15073</v>
      </c>
      <c r="C33" s="10">
        <v>7285</v>
      </c>
      <c r="D33" s="14">
        <f t="shared" si="3"/>
        <v>2.0690459849004803</v>
      </c>
      <c r="E33" s="10">
        <v>7326</v>
      </c>
      <c r="F33" s="10">
        <v>7747</v>
      </c>
      <c r="G33" s="12">
        <f t="shared" si="4"/>
        <v>5.7930742918636383E-2</v>
      </c>
      <c r="H33" s="28">
        <f t="shared" si="5"/>
        <v>6</v>
      </c>
    </row>
    <row r="34" spans="1:8">
      <c r="A34" s="9" t="s">
        <v>131</v>
      </c>
      <c r="B34" s="10">
        <v>18017</v>
      </c>
      <c r="C34" s="10">
        <v>8783</v>
      </c>
      <c r="D34" s="14">
        <f t="shared" si="3"/>
        <v>2.0513491973129909</v>
      </c>
      <c r="E34" s="10">
        <v>9069</v>
      </c>
      <c r="F34" s="10">
        <v>8948</v>
      </c>
      <c r="G34" s="12">
        <f t="shared" si="4"/>
        <v>6.9245551327875784E-2</v>
      </c>
      <c r="H34" s="28">
        <f t="shared" si="5"/>
        <v>5</v>
      </c>
    </row>
    <row r="35" spans="1:8">
      <c r="A35" s="9" t="s">
        <v>132</v>
      </c>
      <c r="B35" s="10">
        <v>10949</v>
      </c>
      <c r="C35" s="10">
        <v>6030</v>
      </c>
      <c r="D35" s="14">
        <f t="shared" si="3"/>
        <v>1.81575456053068</v>
      </c>
      <c r="E35" s="10">
        <v>5857</v>
      </c>
      <c r="F35" s="10">
        <v>5092</v>
      </c>
      <c r="G35" s="12">
        <f t="shared" si="4"/>
        <v>4.2080787117106729E-2</v>
      </c>
      <c r="H35" s="28">
        <f t="shared" si="5"/>
        <v>7</v>
      </c>
    </row>
    <row r="36" spans="1:8">
      <c r="A36" s="9" t="s">
        <v>133</v>
      </c>
      <c r="B36" s="10">
        <v>9116</v>
      </c>
      <c r="C36" s="10">
        <v>4073</v>
      </c>
      <c r="D36" s="14">
        <f t="shared" si="3"/>
        <v>2.2381536950650625</v>
      </c>
      <c r="E36" s="10">
        <v>4572</v>
      </c>
      <c r="F36" s="10">
        <v>4544</v>
      </c>
      <c r="G36" s="12">
        <f t="shared" si="4"/>
        <v>3.5035935278066026E-2</v>
      </c>
      <c r="H36" s="28">
        <f t="shared" si="5"/>
        <v>10</v>
      </c>
    </row>
    <row r="37" spans="1:8">
      <c r="A37" s="9" t="s">
        <v>134</v>
      </c>
      <c r="B37" s="10">
        <v>9893</v>
      </c>
      <c r="C37" s="10">
        <v>4520</v>
      </c>
      <c r="D37" s="14">
        <f t="shared" si="3"/>
        <v>2.1887168141592919</v>
      </c>
      <c r="E37" s="10">
        <v>4951</v>
      </c>
      <c r="F37" s="10">
        <v>4942</v>
      </c>
      <c r="G37" s="12">
        <f t="shared" si="4"/>
        <v>3.8022214535531729E-2</v>
      </c>
      <c r="H37" s="28">
        <f t="shared" si="5"/>
        <v>8</v>
      </c>
    </row>
    <row r="38" spans="1:8">
      <c r="A38" s="9" t="s">
        <v>135</v>
      </c>
      <c r="B38" s="10">
        <v>31100</v>
      </c>
      <c r="C38" s="10">
        <v>13900</v>
      </c>
      <c r="D38" s="14">
        <f t="shared" si="3"/>
        <v>2.2374100719424459</v>
      </c>
      <c r="E38" s="10">
        <v>15909</v>
      </c>
      <c r="F38" s="10">
        <v>15191</v>
      </c>
      <c r="G38" s="12">
        <f t="shared" si="4"/>
        <v>0.119528037203582</v>
      </c>
      <c r="H38" s="28">
        <f t="shared" si="5"/>
        <v>2</v>
      </c>
    </row>
    <row r="39" spans="1:8">
      <c r="A39" s="9" t="s">
        <v>136</v>
      </c>
      <c r="B39" s="10">
        <v>43036</v>
      </c>
      <c r="C39" s="10">
        <v>17136</v>
      </c>
      <c r="D39" s="14">
        <f t="shared" si="3"/>
        <v>2.511437908496732</v>
      </c>
      <c r="E39" s="10">
        <v>21491</v>
      </c>
      <c r="F39" s="10">
        <v>21545</v>
      </c>
      <c r="G39" s="12">
        <f t="shared" si="4"/>
        <v>0.16540220608017217</v>
      </c>
      <c r="H39" s="28">
        <f t="shared" si="5"/>
        <v>1</v>
      </c>
    </row>
    <row r="40" spans="1:8">
      <c r="A40" s="9" t="s">
        <v>137</v>
      </c>
      <c r="B40" s="10">
        <v>18425</v>
      </c>
      <c r="C40" s="10">
        <v>10050</v>
      </c>
      <c r="D40" s="14">
        <f t="shared" si="3"/>
        <v>1.8333333333333333</v>
      </c>
      <c r="E40" s="10">
        <v>9770</v>
      </c>
      <c r="F40" s="10">
        <v>8655</v>
      </c>
      <c r="G40" s="12">
        <f t="shared" si="4"/>
        <v>7.081363618893885E-2</v>
      </c>
      <c r="H40" s="28">
        <f t="shared" si="5"/>
        <v>4</v>
      </c>
    </row>
    <row r="41" spans="1:8">
      <c r="A41" s="9" t="s">
        <v>138</v>
      </c>
      <c r="B41" s="10">
        <v>7330</v>
      </c>
      <c r="C41" s="10">
        <v>3166</v>
      </c>
      <c r="D41" s="14">
        <f t="shared" si="3"/>
        <v>2.3152242577384712</v>
      </c>
      <c r="E41" s="10">
        <v>3797</v>
      </c>
      <c r="F41" s="10">
        <v>3533</v>
      </c>
      <c r="G41" s="12">
        <f t="shared" si="4"/>
        <v>2.8171720665667397E-2</v>
      </c>
      <c r="H41" s="28">
        <f t="shared" si="5"/>
        <v>12</v>
      </c>
    </row>
    <row r="42" spans="1:8">
      <c r="A42" s="9" t="s">
        <v>139</v>
      </c>
      <c r="B42" s="10">
        <v>1908</v>
      </c>
      <c r="C42" s="10">
        <v>1128</v>
      </c>
      <c r="D42" s="14">
        <f t="shared" si="3"/>
        <v>1.6914893617021276</v>
      </c>
      <c r="E42" s="10">
        <v>1043</v>
      </c>
      <c r="F42" s="10">
        <v>865</v>
      </c>
      <c r="G42" s="12">
        <f t="shared" si="4"/>
        <v>7.3331027326184713E-3</v>
      </c>
      <c r="H42" s="28">
        <f t="shared" si="5"/>
        <v>26</v>
      </c>
    </row>
    <row r="43" spans="1:8">
      <c r="A43" s="9" t="s">
        <v>140</v>
      </c>
      <c r="B43" s="10">
        <v>1036</v>
      </c>
      <c r="C43" s="10">
        <v>565</v>
      </c>
      <c r="D43" s="14">
        <f t="shared" si="3"/>
        <v>1.8336283185840707</v>
      </c>
      <c r="E43" s="10">
        <v>542</v>
      </c>
      <c r="F43" s="10">
        <v>494</v>
      </c>
      <c r="G43" s="12">
        <f t="shared" si="4"/>
        <v>3.9817056766209306E-3</v>
      </c>
      <c r="H43" s="28">
        <f t="shared" si="5"/>
        <v>29</v>
      </c>
    </row>
    <row r="44" spans="1:8">
      <c r="A44" s="21" t="s">
        <v>141</v>
      </c>
      <c r="B44" s="23">
        <f>SUM(B14:B43)</f>
        <v>260190</v>
      </c>
      <c r="C44" s="23">
        <f>SUM(C14:C43)</f>
        <v>127214</v>
      </c>
      <c r="D44" s="26">
        <f t="shared" si="3"/>
        <v>2.0452937569764336</v>
      </c>
      <c r="E44" s="23">
        <f>SUM(E14:E43)</f>
        <v>132132</v>
      </c>
      <c r="F44" s="23">
        <f>SUM(F14:F43)</f>
        <v>128058</v>
      </c>
      <c r="G44" s="24">
        <f>IFERROR(B44/B44,0)</f>
        <v>1</v>
      </c>
      <c r="H44" s="25" t="s">
        <v>28</v>
      </c>
    </row>
    <row r="46" spans="1:8">
      <c r="A46" s="27" t="s">
        <v>142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showGridLines="0" workbookViewId="0">
      <pane ySplit="4" topLeftCell="A5" activePane="bottomLeft" state="frozen"/>
      <selection pane="bottomLeft"/>
    </sheetView>
  </sheetViews>
  <sheetFormatPr defaultRowHeight="17.100000000000001"/>
  <cols>
    <col min="1" max="1" width="16" customWidth="1"/>
    <col min="2" max="2" width="12" customWidth="1"/>
    <col min="3" max="9" width="11" customWidth="1"/>
  </cols>
  <sheetData>
    <row r="1" spans="1:9" ht="17.45">
      <c r="A1" s="1" t="s">
        <v>143</v>
      </c>
    </row>
    <row r="2" spans="1:9">
      <c r="A2" s="2" t="s">
        <v>144</v>
      </c>
    </row>
    <row r="4" spans="1:9">
      <c r="A4" s="8" t="s">
        <v>83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</row>
    <row r="5" spans="1:9">
      <c r="A5" s="15" t="s">
        <v>153</v>
      </c>
      <c r="B5" s="29" t="s">
        <v>154</v>
      </c>
      <c r="C5" s="30">
        <v>0.66</v>
      </c>
      <c r="D5" s="30">
        <v>0.56100000000000005</v>
      </c>
      <c r="E5" s="30">
        <v>0.48599999999999999</v>
      </c>
      <c r="F5" s="30">
        <v>0.41599999999999998</v>
      </c>
      <c r="G5" s="30">
        <v>0.34100000000000003</v>
      </c>
      <c r="H5" s="30">
        <v>0.307</v>
      </c>
      <c r="I5" s="30">
        <v>0.29399999999999998</v>
      </c>
    </row>
    <row r="6" spans="1:9">
      <c r="A6" s="15" t="s">
        <v>153</v>
      </c>
      <c r="B6" s="29" t="s">
        <v>155</v>
      </c>
      <c r="C6" s="30">
        <v>0.6409999999999999</v>
      </c>
      <c r="D6" s="30">
        <v>0.55600000000000005</v>
      </c>
      <c r="E6" s="30">
        <v>0.49</v>
      </c>
      <c r="F6" s="30">
        <v>0.43200000000000011</v>
      </c>
      <c r="G6" s="30">
        <v>0.36699999999999999</v>
      </c>
      <c r="H6" s="30">
        <v>0.307</v>
      </c>
      <c r="I6" s="30">
        <v>0.28000000000000003</v>
      </c>
    </row>
    <row r="7" spans="1:9">
      <c r="A7" s="9" t="s">
        <v>156</v>
      </c>
      <c r="B7" s="31" t="s">
        <v>154</v>
      </c>
      <c r="C7" s="32">
        <v>0.64900000000000002</v>
      </c>
      <c r="D7" s="32">
        <v>0.53600000000000003</v>
      </c>
      <c r="E7" s="32">
        <v>0.46899999999999997</v>
      </c>
      <c r="F7" s="32">
        <v>0.41</v>
      </c>
      <c r="G7" s="32">
        <v>0.34799999999999998</v>
      </c>
      <c r="H7" s="32">
        <v>0.31</v>
      </c>
      <c r="I7" s="32">
        <v>0.27800000000000002</v>
      </c>
    </row>
    <row r="8" spans="1:9">
      <c r="A8" s="9" t="s">
        <v>156</v>
      </c>
      <c r="B8" s="31" t="s">
        <v>155</v>
      </c>
      <c r="C8" s="32">
        <v>0.64400000000000002</v>
      </c>
      <c r="D8" s="32">
        <v>0.54</v>
      </c>
      <c r="E8" s="32">
        <v>0.45900000000000002</v>
      </c>
      <c r="F8" s="32">
        <v>0.41</v>
      </c>
      <c r="G8" s="32">
        <v>0.36399999999999999</v>
      </c>
      <c r="H8" s="32">
        <v>0.313</v>
      </c>
      <c r="I8" s="32">
        <v>0.28199999999999997</v>
      </c>
    </row>
    <row r="9" spans="1:9">
      <c r="A9" s="9" t="s">
        <v>157</v>
      </c>
      <c r="B9" s="33" t="s">
        <v>155</v>
      </c>
      <c r="C9" s="34">
        <f t="shared" ref="C9:I9" si="0">C6-C8</f>
        <v>-3.0000000000001137E-3</v>
      </c>
      <c r="D9" s="34">
        <f t="shared" si="0"/>
        <v>1.6000000000000014E-2</v>
      </c>
      <c r="E9" s="34">
        <f t="shared" si="0"/>
        <v>3.0999999999999972E-2</v>
      </c>
      <c r="F9" s="34">
        <f t="shared" si="0"/>
        <v>2.2000000000000131E-2</v>
      </c>
      <c r="G9" s="34">
        <f t="shared" si="0"/>
        <v>3.0000000000000027E-3</v>
      </c>
      <c r="H9" s="34">
        <f t="shared" si="0"/>
        <v>-6.0000000000000053E-3</v>
      </c>
      <c r="I9" s="34">
        <f t="shared" si="0"/>
        <v>-1.9999999999999463E-3</v>
      </c>
    </row>
    <row r="11" spans="1:9">
      <c r="A11" s="27" t="s">
        <v>158</v>
      </c>
    </row>
    <row r="12" spans="1:9">
      <c r="A12" s="27" t="s">
        <v>159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showGridLines="0" workbookViewId="0">
      <pane ySplit="4" topLeftCell="A5" activePane="bottomLeft" state="frozen"/>
      <selection pane="bottomLeft"/>
    </sheetView>
  </sheetViews>
  <sheetFormatPr defaultRowHeight="17.100000000000001"/>
  <cols>
    <col min="1" max="1" width="12" customWidth="1"/>
    <col min="2" max="2" width="20" customWidth="1"/>
    <col min="3" max="7" width="14" customWidth="1"/>
  </cols>
  <sheetData>
    <row r="1" spans="1:7" ht="17.45">
      <c r="A1" s="1" t="s">
        <v>160</v>
      </c>
    </row>
    <row r="2" spans="1:7">
      <c r="A2" s="2" t="s">
        <v>82</v>
      </c>
    </row>
    <row r="4" spans="1:7">
      <c r="A4" s="8" t="s">
        <v>83</v>
      </c>
      <c r="B4" s="8" t="s">
        <v>161</v>
      </c>
      <c r="C4" s="8" t="s">
        <v>162</v>
      </c>
      <c r="D4" s="8" t="s">
        <v>163</v>
      </c>
      <c r="E4" s="8" t="s">
        <v>164</v>
      </c>
      <c r="F4" s="8" t="s">
        <v>165</v>
      </c>
      <c r="G4" s="8" t="s">
        <v>166</v>
      </c>
    </row>
    <row r="5" spans="1:7">
      <c r="A5" s="9" t="s">
        <v>91</v>
      </c>
      <c r="B5" s="35" t="s">
        <v>167</v>
      </c>
      <c r="C5" s="10">
        <v>3395</v>
      </c>
      <c r="D5" s="10">
        <v>3207</v>
      </c>
      <c r="E5" s="36">
        <f t="shared" ref="E5:E22" si="0">D5-C5</f>
        <v>-188</v>
      </c>
      <c r="F5" s="32">
        <v>0.114</v>
      </c>
      <c r="G5" s="32">
        <v>0.108</v>
      </c>
    </row>
    <row r="6" spans="1:7">
      <c r="A6" s="35" t="s">
        <v>91</v>
      </c>
      <c r="B6" s="35" t="s">
        <v>85</v>
      </c>
      <c r="C6" s="10">
        <v>865</v>
      </c>
      <c r="D6" s="10">
        <v>747</v>
      </c>
      <c r="E6" s="36">
        <f t="shared" si="0"/>
        <v>-118</v>
      </c>
      <c r="F6" s="32">
        <v>0.11899999999999999</v>
      </c>
      <c r="G6" s="32">
        <v>0.105</v>
      </c>
    </row>
    <row r="7" spans="1:7">
      <c r="A7" s="35" t="s">
        <v>91</v>
      </c>
      <c r="B7" s="35" t="s">
        <v>86</v>
      </c>
      <c r="C7" s="10">
        <v>824</v>
      </c>
      <c r="D7" s="10">
        <v>740</v>
      </c>
      <c r="E7" s="36">
        <f t="shared" si="0"/>
        <v>-84</v>
      </c>
      <c r="F7" s="32">
        <v>0.161</v>
      </c>
      <c r="G7" s="32">
        <v>0.14699999999999999</v>
      </c>
    </row>
    <row r="8" spans="1:7">
      <c r="A8" s="15" t="s">
        <v>80</v>
      </c>
      <c r="B8" s="37" t="s">
        <v>167</v>
      </c>
      <c r="C8" s="16">
        <v>4769</v>
      </c>
      <c r="D8" s="16">
        <v>4356</v>
      </c>
      <c r="E8" s="38">
        <f t="shared" si="0"/>
        <v>-413</v>
      </c>
      <c r="F8" s="39">
        <v>0.11799999999999999</v>
      </c>
      <c r="G8" s="39">
        <v>0.107</v>
      </c>
    </row>
    <row r="9" spans="1:7">
      <c r="A9" s="37" t="s">
        <v>80</v>
      </c>
      <c r="B9" s="37" t="s">
        <v>85</v>
      </c>
      <c r="C9" s="16">
        <v>886</v>
      </c>
      <c r="D9" s="16">
        <v>814</v>
      </c>
      <c r="E9" s="38">
        <f t="shared" si="0"/>
        <v>-72</v>
      </c>
      <c r="F9" s="39">
        <v>0.111</v>
      </c>
      <c r="G9" s="39">
        <v>0.10299999999999999</v>
      </c>
    </row>
    <row r="10" spans="1:7">
      <c r="A10" s="37" t="s">
        <v>80</v>
      </c>
      <c r="B10" s="37" t="s">
        <v>86</v>
      </c>
      <c r="C10" s="16">
        <v>1260</v>
      </c>
      <c r="D10" s="16">
        <v>1113</v>
      </c>
      <c r="E10" s="38">
        <f t="shared" si="0"/>
        <v>-147</v>
      </c>
      <c r="F10" s="39">
        <v>0.17299999999999999</v>
      </c>
      <c r="G10" s="39">
        <v>0.153</v>
      </c>
    </row>
    <row r="11" spans="1:7">
      <c r="A11" s="9" t="s">
        <v>92</v>
      </c>
      <c r="B11" s="35" t="s">
        <v>167</v>
      </c>
      <c r="C11" s="10">
        <v>4241</v>
      </c>
      <c r="D11" s="10">
        <v>4014</v>
      </c>
      <c r="E11" s="36">
        <f t="shared" si="0"/>
        <v>-227</v>
      </c>
      <c r="F11" s="32">
        <v>0.11899999999999999</v>
      </c>
      <c r="G11" s="32">
        <v>0.112</v>
      </c>
    </row>
    <row r="12" spans="1:7">
      <c r="A12" s="35" t="s">
        <v>92</v>
      </c>
      <c r="B12" s="35" t="s">
        <v>85</v>
      </c>
      <c r="C12" s="10">
        <v>1016</v>
      </c>
      <c r="D12" s="10">
        <v>937</v>
      </c>
      <c r="E12" s="36">
        <f t="shared" si="0"/>
        <v>-79</v>
      </c>
      <c r="F12" s="32">
        <v>0.124</v>
      </c>
      <c r="G12" s="32">
        <v>0.115</v>
      </c>
    </row>
    <row r="13" spans="1:7">
      <c r="A13" s="35" t="s">
        <v>92</v>
      </c>
      <c r="B13" s="35" t="s">
        <v>86</v>
      </c>
      <c r="C13" s="10">
        <v>947</v>
      </c>
      <c r="D13" s="10">
        <v>837</v>
      </c>
      <c r="E13" s="36">
        <f t="shared" si="0"/>
        <v>-110</v>
      </c>
      <c r="F13" s="32">
        <v>0.17199999999999999</v>
      </c>
      <c r="G13" s="32">
        <v>0.154</v>
      </c>
    </row>
    <row r="14" spans="1:7">
      <c r="A14" s="9" t="s">
        <v>93</v>
      </c>
      <c r="B14" s="35" t="s">
        <v>167</v>
      </c>
      <c r="C14" s="10">
        <v>2823</v>
      </c>
      <c r="D14" s="10">
        <v>2435</v>
      </c>
      <c r="E14" s="36">
        <f t="shared" si="0"/>
        <v>-388</v>
      </c>
      <c r="F14" s="32">
        <v>0.14699999999999999</v>
      </c>
      <c r="G14" s="32">
        <v>0.123</v>
      </c>
    </row>
    <row r="15" spans="1:7">
      <c r="A15" s="35" t="s">
        <v>93</v>
      </c>
      <c r="B15" s="35" t="s">
        <v>85</v>
      </c>
      <c r="C15" s="10">
        <v>491</v>
      </c>
      <c r="D15" s="10">
        <v>446</v>
      </c>
      <c r="E15" s="36">
        <f t="shared" si="0"/>
        <v>-45</v>
      </c>
      <c r="F15" s="32">
        <v>0.14899999999999999</v>
      </c>
      <c r="G15" s="32">
        <v>0.13500000000000001</v>
      </c>
    </row>
    <row r="16" spans="1:7">
      <c r="A16" s="35" t="s">
        <v>93</v>
      </c>
      <c r="B16" s="35" t="s">
        <v>86</v>
      </c>
      <c r="C16" s="10">
        <v>417</v>
      </c>
      <c r="D16" s="10">
        <v>368</v>
      </c>
      <c r="E16" s="36">
        <f t="shared" si="0"/>
        <v>-49</v>
      </c>
      <c r="F16" s="32">
        <v>0.193</v>
      </c>
      <c r="G16" s="32">
        <v>0.16800000000000001</v>
      </c>
    </row>
    <row r="17" spans="1:7">
      <c r="A17" s="9" t="s">
        <v>94</v>
      </c>
      <c r="B17" s="35" t="s">
        <v>167</v>
      </c>
      <c r="C17" s="10">
        <v>2342</v>
      </c>
      <c r="D17" s="10">
        <v>2330</v>
      </c>
      <c r="E17" s="36">
        <f t="shared" si="0"/>
        <v>-12</v>
      </c>
      <c r="F17" s="32">
        <v>0.11700000000000001</v>
      </c>
      <c r="G17" s="32">
        <v>0.115</v>
      </c>
    </row>
    <row r="18" spans="1:7">
      <c r="A18" s="35" t="s">
        <v>94</v>
      </c>
      <c r="B18" s="35" t="s">
        <v>85</v>
      </c>
      <c r="C18" s="10">
        <v>490</v>
      </c>
      <c r="D18" s="10">
        <v>436</v>
      </c>
      <c r="E18" s="36">
        <f t="shared" si="0"/>
        <v>-54</v>
      </c>
      <c r="F18" s="32">
        <v>0.124</v>
      </c>
      <c r="G18" s="32">
        <v>0.112</v>
      </c>
    </row>
    <row r="19" spans="1:7">
      <c r="A19" s="35" t="s">
        <v>94</v>
      </c>
      <c r="B19" s="35" t="s">
        <v>86</v>
      </c>
      <c r="C19" s="10">
        <v>539</v>
      </c>
      <c r="D19" s="10">
        <v>503</v>
      </c>
      <c r="E19" s="36">
        <f t="shared" si="0"/>
        <v>-36</v>
      </c>
      <c r="F19" s="32">
        <v>0.158</v>
      </c>
      <c r="G19" s="32">
        <v>0.14599999999999999</v>
      </c>
    </row>
    <row r="20" spans="1:7">
      <c r="A20" s="21" t="s">
        <v>95</v>
      </c>
      <c r="B20" s="21" t="s">
        <v>167</v>
      </c>
      <c r="C20" s="22">
        <v>30585</v>
      </c>
      <c r="D20" s="22">
        <v>29782</v>
      </c>
      <c r="E20" s="40">
        <f t="shared" si="0"/>
        <v>-803</v>
      </c>
      <c r="F20" s="41">
        <v>0.121</v>
      </c>
      <c r="G20" s="41">
        <v>0.11600000000000001</v>
      </c>
    </row>
    <row r="21" spans="1:7">
      <c r="A21" s="21" t="s">
        <v>95</v>
      </c>
      <c r="B21" s="21" t="s">
        <v>85</v>
      </c>
      <c r="C21" s="22">
        <v>6357</v>
      </c>
      <c r="D21" s="22">
        <v>5958</v>
      </c>
      <c r="E21" s="40">
        <f t="shared" si="0"/>
        <v>-399</v>
      </c>
      <c r="F21" s="41">
        <v>0.12</v>
      </c>
      <c r="G21" s="41">
        <v>0.114</v>
      </c>
    </row>
    <row r="22" spans="1:7">
      <c r="A22" s="21" t="s">
        <v>95</v>
      </c>
      <c r="B22" s="21" t="s">
        <v>86</v>
      </c>
      <c r="C22" s="22">
        <v>6248</v>
      </c>
      <c r="D22" s="22">
        <v>5760</v>
      </c>
      <c r="E22" s="40">
        <f t="shared" si="0"/>
        <v>-488</v>
      </c>
      <c r="F22" s="41">
        <v>0.16300000000000001</v>
      </c>
      <c r="G22" s="41">
        <v>0.15</v>
      </c>
    </row>
    <row r="24" spans="1:7">
      <c r="A24" s="27" t="s">
        <v>168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showGridLines="0" workbookViewId="0">
      <pane ySplit="4" topLeftCell="A5" activePane="bottomLeft" state="frozen"/>
      <selection pane="bottomLeft" activeCell="C7" sqref="C7"/>
    </sheetView>
  </sheetViews>
  <sheetFormatPr defaultRowHeight="17.100000000000001"/>
  <cols>
    <col min="1" max="1" width="12" customWidth="1"/>
    <col min="2" max="2" width="20" customWidth="1"/>
    <col min="3" max="4" width="14" customWidth="1"/>
    <col min="5" max="6" width="16" customWidth="1"/>
  </cols>
  <sheetData>
    <row r="1" spans="1:6" ht="17.45">
      <c r="A1" s="1" t="s">
        <v>169</v>
      </c>
    </row>
    <row r="2" spans="1:6">
      <c r="A2" s="2" t="s">
        <v>170</v>
      </c>
    </row>
    <row r="4" spans="1:6" ht="26.1">
      <c r="A4" s="8" t="s">
        <v>83</v>
      </c>
      <c r="B4" s="8" t="s">
        <v>161</v>
      </c>
      <c r="C4" s="8" t="s">
        <v>162</v>
      </c>
      <c r="D4" s="8" t="s">
        <v>171</v>
      </c>
      <c r="E4" s="8" t="s">
        <v>172</v>
      </c>
      <c r="F4" s="8" t="s">
        <v>173</v>
      </c>
    </row>
    <row r="5" spans="1:6">
      <c r="A5" s="9" t="s">
        <v>91</v>
      </c>
      <c r="B5" s="35" t="s">
        <v>167</v>
      </c>
      <c r="C5" s="10">
        <v>3099</v>
      </c>
      <c r="D5" s="32">
        <v>0.104</v>
      </c>
      <c r="E5" s="36">
        <f>'05_개업가게수'!C5-C5</f>
        <v>296</v>
      </c>
      <c r="F5" s="34">
        <f>'05_개업가게수'!F5-D5</f>
        <v>1.0000000000000009E-2</v>
      </c>
    </row>
    <row r="6" spans="1:6">
      <c r="A6" s="35" t="s">
        <v>91</v>
      </c>
      <c r="B6" s="35" t="s">
        <v>85</v>
      </c>
      <c r="C6" s="10">
        <v>843</v>
      </c>
      <c r="D6" s="32">
        <v>0.11600000000000001</v>
      </c>
      <c r="E6" s="36">
        <f>'05_개업가게수'!C6-C6</f>
        <v>22</v>
      </c>
      <c r="F6" s="34">
        <f>'05_개업가게수'!F6-D6</f>
        <v>2.9999999999999888E-3</v>
      </c>
    </row>
    <row r="7" spans="1:6">
      <c r="A7" s="35" t="s">
        <v>91</v>
      </c>
      <c r="B7" s="35" t="s">
        <v>86</v>
      </c>
      <c r="C7" s="10">
        <v>789</v>
      </c>
      <c r="D7" s="32">
        <v>0.154</v>
      </c>
      <c r="E7" s="36">
        <f>'05_개업가게수'!C7-C7</f>
        <v>35</v>
      </c>
      <c r="F7" s="34">
        <f>'05_개업가게수'!F7-D7</f>
        <v>7.0000000000000062E-3</v>
      </c>
    </row>
    <row r="8" spans="1:6">
      <c r="A8" s="15" t="s">
        <v>80</v>
      </c>
      <c r="B8" s="37" t="s">
        <v>167</v>
      </c>
      <c r="C8" s="16">
        <v>4076</v>
      </c>
      <c r="D8" s="39">
        <v>0.1</v>
      </c>
      <c r="E8" s="38">
        <f>'05_개업가게수'!C8-C8</f>
        <v>693</v>
      </c>
      <c r="F8" s="42">
        <f>'05_개업가게수'!F8-D8</f>
        <v>1.7999999999999988E-2</v>
      </c>
    </row>
    <row r="9" spans="1:6">
      <c r="A9" s="37" t="s">
        <v>80</v>
      </c>
      <c r="B9" s="37" t="s">
        <v>85</v>
      </c>
      <c r="C9" s="16">
        <v>903</v>
      </c>
      <c r="D9" s="39">
        <v>0.113</v>
      </c>
      <c r="E9" s="38">
        <f>'05_개업가게수'!C9-C9</f>
        <v>-17</v>
      </c>
      <c r="F9" s="42">
        <f>'05_개업가게수'!F9-D9</f>
        <v>-2.0000000000000018E-3</v>
      </c>
    </row>
    <row r="10" spans="1:6">
      <c r="A10" s="37" t="s">
        <v>80</v>
      </c>
      <c r="B10" s="37" t="s">
        <v>86</v>
      </c>
      <c r="C10" s="16">
        <v>1059</v>
      </c>
      <c r="D10" s="39">
        <v>0.14599999999999999</v>
      </c>
      <c r="E10" s="38">
        <f>'05_개업가게수'!C10-C10</f>
        <v>201</v>
      </c>
      <c r="F10" s="42">
        <f>'05_개업가게수'!F10-D10</f>
        <v>2.6999999999999996E-2</v>
      </c>
    </row>
    <row r="11" spans="1:6">
      <c r="A11" s="9" t="s">
        <v>92</v>
      </c>
      <c r="B11" s="35" t="s">
        <v>167</v>
      </c>
      <c r="C11" s="10">
        <v>3598</v>
      </c>
      <c r="D11" s="32">
        <v>0.10100000000000001</v>
      </c>
      <c r="E11" s="36">
        <f>'05_개업가게수'!C11-C11</f>
        <v>643</v>
      </c>
      <c r="F11" s="34">
        <f>'05_개업가게수'!F11-D11</f>
        <v>1.7999999999999988E-2</v>
      </c>
    </row>
    <row r="12" spans="1:6">
      <c r="A12" s="35" t="s">
        <v>92</v>
      </c>
      <c r="B12" s="35" t="s">
        <v>85</v>
      </c>
      <c r="C12" s="10">
        <v>938</v>
      </c>
      <c r="D12" s="32">
        <v>0.114</v>
      </c>
      <c r="E12" s="36">
        <f>'05_개업가게수'!C12-C12</f>
        <v>78</v>
      </c>
      <c r="F12" s="34">
        <f>'05_개업가게수'!F12-D12</f>
        <v>9.999999999999995E-3</v>
      </c>
    </row>
    <row r="13" spans="1:6">
      <c r="A13" s="35" t="s">
        <v>92</v>
      </c>
      <c r="B13" s="35" t="s">
        <v>86</v>
      </c>
      <c r="C13" s="10">
        <v>848</v>
      </c>
      <c r="D13" s="32">
        <v>0.154</v>
      </c>
      <c r="E13" s="36">
        <f>'05_개업가게수'!C13-C13</f>
        <v>99</v>
      </c>
      <c r="F13" s="34">
        <f>'05_개업가게수'!F13-D13</f>
        <v>1.7999999999999988E-2</v>
      </c>
    </row>
    <row r="14" spans="1:6">
      <c r="A14" s="9" t="s">
        <v>93</v>
      </c>
      <c r="B14" s="35" t="s">
        <v>167</v>
      </c>
      <c r="C14" s="10">
        <v>1916</v>
      </c>
      <c r="D14" s="32">
        <v>0.1</v>
      </c>
      <c r="E14" s="36">
        <f>'05_개업가게수'!C14-C14</f>
        <v>907</v>
      </c>
      <c r="F14" s="34">
        <f>'05_개업가게수'!F14-D14</f>
        <v>4.6999999999999986E-2</v>
      </c>
    </row>
    <row r="15" spans="1:6">
      <c r="A15" s="35" t="s">
        <v>93</v>
      </c>
      <c r="B15" s="35" t="s">
        <v>85</v>
      </c>
      <c r="C15" s="10">
        <v>445</v>
      </c>
      <c r="D15" s="32">
        <v>0.13500000000000001</v>
      </c>
      <c r="E15" s="36">
        <f>'05_개업가게수'!C15-C15</f>
        <v>46</v>
      </c>
      <c r="F15" s="34">
        <f>'05_개업가게수'!F15-D15</f>
        <v>1.3999999999999985E-2</v>
      </c>
    </row>
    <row r="16" spans="1:6">
      <c r="A16" s="35" t="s">
        <v>93</v>
      </c>
      <c r="B16" s="35" t="s">
        <v>86</v>
      </c>
      <c r="C16" s="10">
        <v>326</v>
      </c>
      <c r="D16" s="32">
        <v>0.151</v>
      </c>
      <c r="E16" s="36">
        <f>'05_개업가게수'!C16-C16</f>
        <v>91</v>
      </c>
      <c r="F16" s="34">
        <f>'05_개업가게수'!F16-D16</f>
        <v>4.200000000000001E-2</v>
      </c>
    </row>
    <row r="17" spans="1:6">
      <c r="A17" s="9" t="s">
        <v>94</v>
      </c>
      <c r="B17" s="35" t="s">
        <v>167</v>
      </c>
      <c r="C17" s="10">
        <v>1919</v>
      </c>
      <c r="D17" s="32">
        <v>9.6000000000000002E-2</v>
      </c>
      <c r="E17" s="36">
        <f>'05_개업가게수'!C17-C17</f>
        <v>423</v>
      </c>
      <c r="F17" s="34">
        <f>'05_개업가게수'!F17-D17</f>
        <v>2.1000000000000005E-2</v>
      </c>
    </row>
    <row r="18" spans="1:6">
      <c r="A18" s="35" t="s">
        <v>94</v>
      </c>
      <c r="B18" s="35" t="s">
        <v>85</v>
      </c>
      <c r="C18" s="10">
        <v>486</v>
      </c>
      <c r="D18" s="32">
        <v>0.123</v>
      </c>
      <c r="E18" s="36">
        <f>'05_개업가게수'!C18-C18</f>
        <v>4</v>
      </c>
      <c r="F18" s="34">
        <f>'05_개업가게수'!F18-D18</f>
        <v>1.0000000000000009E-3</v>
      </c>
    </row>
    <row r="19" spans="1:6">
      <c r="A19" s="35" t="s">
        <v>94</v>
      </c>
      <c r="B19" s="35" t="s">
        <v>86</v>
      </c>
      <c r="C19" s="10">
        <v>432</v>
      </c>
      <c r="D19" s="32">
        <v>0.127</v>
      </c>
      <c r="E19" s="36">
        <f>'05_개업가게수'!C19-C19</f>
        <v>107</v>
      </c>
      <c r="F19" s="34">
        <f>'05_개업가게수'!F19-D19</f>
        <v>3.1E-2</v>
      </c>
    </row>
    <row r="20" spans="1:6">
      <c r="A20" s="21" t="s">
        <v>95</v>
      </c>
      <c r="B20" s="21" t="s">
        <v>167</v>
      </c>
      <c r="C20" s="22">
        <v>24633</v>
      </c>
      <c r="D20" s="41">
        <v>9.6999999999999989E-2</v>
      </c>
      <c r="E20" s="40">
        <f>'05_개업가게수'!C20-C20</f>
        <v>5952</v>
      </c>
      <c r="F20" s="43">
        <f>'05_개업가게수'!F20-D20</f>
        <v>2.4000000000000007E-2</v>
      </c>
    </row>
    <row r="21" spans="1:6">
      <c r="A21" s="21" t="s">
        <v>95</v>
      </c>
      <c r="B21" s="21" t="s">
        <v>85</v>
      </c>
      <c r="C21" s="22">
        <v>6162</v>
      </c>
      <c r="D21" s="41">
        <v>0.11700000000000001</v>
      </c>
      <c r="E21" s="40">
        <f>'05_개업가게수'!C21-C21</f>
        <v>195</v>
      </c>
      <c r="F21" s="43">
        <f>'05_개업가게수'!F21-D21</f>
        <v>2.9999999999999888E-3</v>
      </c>
    </row>
    <row r="22" spans="1:6">
      <c r="A22" s="21" t="s">
        <v>95</v>
      </c>
      <c r="B22" s="21" t="s">
        <v>86</v>
      </c>
      <c r="C22" s="22">
        <v>5319</v>
      </c>
      <c r="D22" s="41">
        <v>0.13900000000000001</v>
      </c>
      <c r="E22" s="40">
        <f>'05_개업가게수'!C22-C22</f>
        <v>929</v>
      </c>
      <c r="F22" s="43">
        <f>'05_개업가게수'!F22-D22</f>
        <v>2.3999999999999994E-2</v>
      </c>
    </row>
    <row r="24" spans="1:6">
      <c r="A24" s="27" t="s">
        <v>174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showGridLines="0" workbookViewId="0">
      <pane ySplit="4" topLeftCell="A5" activePane="bottomLeft" state="frozen"/>
      <selection pane="bottomLeft" activeCell="H28" sqref="H28"/>
    </sheetView>
  </sheetViews>
  <sheetFormatPr defaultRowHeight="17.100000000000001"/>
  <cols>
    <col min="1" max="1" width="36" customWidth="1"/>
    <col min="2" max="2" width="12" customWidth="1"/>
    <col min="3" max="4" width="11" customWidth="1"/>
    <col min="5" max="7" width="12" customWidth="1"/>
    <col min="8" max="8" width="11" customWidth="1"/>
    <col min="9" max="9" width="12" customWidth="1"/>
    <col min="10" max="11" width="14" customWidth="1"/>
  </cols>
  <sheetData>
    <row r="1" spans="1:11" ht="17.45">
      <c r="A1" s="1" t="s">
        <v>175</v>
      </c>
    </row>
    <row r="2" spans="1:11">
      <c r="A2" s="2" t="s">
        <v>176</v>
      </c>
    </row>
    <row r="4" spans="1:11">
      <c r="A4" s="8" t="s">
        <v>177</v>
      </c>
      <c r="B4" s="8" t="s">
        <v>178</v>
      </c>
      <c r="C4" s="8" t="s">
        <v>179</v>
      </c>
      <c r="D4" s="8" t="s">
        <v>180</v>
      </c>
      <c r="E4" s="8" t="s">
        <v>165</v>
      </c>
      <c r="F4" s="8" t="s">
        <v>171</v>
      </c>
      <c r="G4" s="8" t="s">
        <v>181</v>
      </c>
      <c r="H4" s="8" t="s">
        <v>182</v>
      </c>
      <c r="I4" s="8" t="s">
        <v>166</v>
      </c>
      <c r="J4" s="8" t="s">
        <v>183</v>
      </c>
      <c r="K4" s="8" t="s">
        <v>184</v>
      </c>
    </row>
    <row r="5" spans="1:11">
      <c r="A5" s="21" t="s">
        <v>167</v>
      </c>
      <c r="B5" s="23">
        <v>40570</v>
      </c>
      <c r="C5" s="23">
        <v>4769</v>
      </c>
      <c r="D5" s="23">
        <v>4076</v>
      </c>
      <c r="E5" s="24">
        <v>0.11799999999999999</v>
      </c>
      <c r="F5" s="24">
        <v>0.1</v>
      </c>
      <c r="G5" s="23">
        <v>40700</v>
      </c>
      <c r="H5" s="23">
        <v>4356</v>
      </c>
      <c r="I5" s="24">
        <v>0.107</v>
      </c>
      <c r="J5" s="44">
        <f>C5-D5</f>
        <v>693</v>
      </c>
      <c r="K5" s="45">
        <f>E5-F5</f>
        <v>1.7999999999999988E-2</v>
      </c>
    </row>
    <row r="6" spans="1:11">
      <c r="A6" s="35" t="s">
        <v>185</v>
      </c>
      <c r="B6" s="10">
        <v>2115</v>
      </c>
      <c r="C6" s="10">
        <v>227</v>
      </c>
      <c r="D6" s="10">
        <v>285</v>
      </c>
      <c r="E6" s="32">
        <v>0.107</v>
      </c>
      <c r="F6" s="32">
        <v>0.13500000000000001</v>
      </c>
      <c r="G6" s="10">
        <v>2133</v>
      </c>
      <c r="H6" s="10">
        <v>304</v>
      </c>
      <c r="I6" s="32">
        <v>0.14299999999999999</v>
      </c>
      <c r="J6" s="36">
        <f>C6-D6</f>
        <v>-58</v>
      </c>
      <c r="K6" s="34">
        <f>E6-F6</f>
        <v>-2.8000000000000011E-2</v>
      </c>
    </row>
    <row r="7" spans="1:11">
      <c r="A7" s="35" t="s">
        <v>186</v>
      </c>
      <c r="B7" s="10">
        <v>5</v>
      </c>
      <c r="C7" s="10">
        <v>0</v>
      </c>
      <c r="D7" s="46" t="s">
        <v>28</v>
      </c>
      <c r="E7" s="32">
        <v>0</v>
      </c>
      <c r="F7" s="46" t="s">
        <v>28</v>
      </c>
      <c r="G7" s="10">
        <v>5</v>
      </c>
      <c r="H7" s="46" t="s">
        <v>28</v>
      </c>
      <c r="I7" s="46" t="s">
        <v>28</v>
      </c>
      <c r="J7" s="25" t="s">
        <v>28</v>
      </c>
      <c r="K7" s="25" t="s">
        <v>28</v>
      </c>
    </row>
    <row r="8" spans="1:11">
      <c r="A8" s="35" t="s">
        <v>187</v>
      </c>
      <c r="B8" s="10">
        <v>1744</v>
      </c>
      <c r="C8" s="10">
        <v>127</v>
      </c>
      <c r="D8" s="10">
        <v>158</v>
      </c>
      <c r="E8" s="32">
        <v>7.2999999999999995E-2</v>
      </c>
      <c r="F8" s="32">
        <v>9.0999999999999998E-2</v>
      </c>
      <c r="G8" s="10">
        <v>1692</v>
      </c>
      <c r="H8" s="10">
        <v>122</v>
      </c>
      <c r="I8" s="32">
        <v>7.2000000000000008E-2</v>
      </c>
      <c r="J8" s="36">
        <f t="shared" ref="J8:J23" si="0">C8-D8</f>
        <v>-31</v>
      </c>
      <c r="K8" s="34">
        <f t="shared" ref="K8:K23" si="1">E8-F8</f>
        <v>-1.8000000000000002E-2</v>
      </c>
    </row>
    <row r="9" spans="1:11">
      <c r="A9" s="35" t="s">
        <v>188</v>
      </c>
      <c r="B9" s="10">
        <v>524</v>
      </c>
      <c r="C9" s="10">
        <v>56</v>
      </c>
      <c r="D9" s="10">
        <v>13</v>
      </c>
      <c r="E9" s="32">
        <v>0.107</v>
      </c>
      <c r="F9" s="32">
        <v>2.5000000000000001E-2</v>
      </c>
      <c r="G9" s="10">
        <v>615</v>
      </c>
      <c r="H9" s="10">
        <v>98</v>
      </c>
      <c r="I9" s="32">
        <v>0.159</v>
      </c>
      <c r="J9" s="36">
        <f t="shared" si="0"/>
        <v>43</v>
      </c>
      <c r="K9" s="34">
        <f t="shared" si="1"/>
        <v>8.199999999999999E-2</v>
      </c>
    </row>
    <row r="10" spans="1:11">
      <c r="A10" s="35" t="s">
        <v>189</v>
      </c>
      <c r="B10" s="10">
        <v>107</v>
      </c>
      <c r="C10" s="10">
        <v>3</v>
      </c>
      <c r="D10" s="10">
        <v>1</v>
      </c>
      <c r="E10" s="32">
        <v>2.8000000000000001E-2</v>
      </c>
      <c r="F10" s="32">
        <v>9.0000000000000011E-3</v>
      </c>
      <c r="G10" s="10">
        <v>114</v>
      </c>
      <c r="H10" s="10">
        <v>7</v>
      </c>
      <c r="I10" s="32">
        <v>6.0999999999999999E-2</v>
      </c>
      <c r="J10" s="36">
        <f t="shared" si="0"/>
        <v>2</v>
      </c>
      <c r="K10" s="34">
        <f t="shared" si="1"/>
        <v>1.9E-2</v>
      </c>
    </row>
    <row r="11" spans="1:11">
      <c r="A11" s="35" t="s">
        <v>190</v>
      </c>
      <c r="B11" s="10">
        <v>2757</v>
      </c>
      <c r="C11" s="10">
        <v>236</v>
      </c>
      <c r="D11" s="10">
        <v>193</v>
      </c>
      <c r="E11" s="32">
        <v>8.5999999999999993E-2</v>
      </c>
      <c r="F11" s="32">
        <v>7.0000000000000007E-2</v>
      </c>
      <c r="G11" s="10">
        <v>2787</v>
      </c>
      <c r="H11" s="10">
        <v>220</v>
      </c>
      <c r="I11" s="32">
        <v>7.9000000000000001E-2</v>
      </c>
      <c r="J11" s="36">
        <f t="shared" si="0"/>
        <v>43</v>
      </c>
      <c r="K11" s="34">
        <f t="shared" si="1"/>
        <v>1.5999999999999986E-2</v>
      </c>
    </row>
    <row r="12" spans="1:11">
      <c r="A12" s="37" t="s">
        <v>85</v>
      </c>
      <c r="B12" s="47">
        <v>8016</v>
      </c>
      <c r="C12" s="47">
        <v>886</v>
      </c>
      <c r="D12" s="47">
        <v>903</v>
      </c>
      <c r="E12" s="30">
        <v>0.111</v>
      </c>
      <c r="F12" s="30">
        <v>0.113</v>
      </c>
      <c r="G12" s="47">
        <v>7899</v>
      </c>
      <c r="H12" s="47">
        <v>814</v>
      </c>
      <c r="I12" s="30">
        <v>0.10299999999999999</v>
      </c>
      <c r="J12" s="38">
        <f t="shared" si="0"/>
        <v>-17</v>
      </c>
      <c r="K12" s="42">
        <f t="shared" si="1"/>
        <v>-2.0000000000000018E-3</v>
      </c>
    </row>
    <row r="13" spans="1:11">
      <c r="A13" s="35" t="s">
        <v>191</v>
      </c>
      <c r="B13" s="10">
        <v>4334</v>
      </c>
      <c r="C13" s="10">
        <v>266</v>
      </c>
      <c r="D13" s="10">
        <v>211</v>
      </c>
      <c r="E13" s="32">
        <v>6.0999999999999999E-2</v>
      </c>
      <c r="F13" s="32">
        <v>4.9000000000000002E-2</v>
      </c>
      <c r="G13" s="10">
        <v>4396</v>
      </c>
      <c r="H13" s="10">
        <v>289</v>
      </c>
      <c r="I13" s="32">
        <v>6.6000000000000003E-2</v>
      </c>
      <c r="J13" s="36">
        <f t="shared" si="0"/>
        <v>55</v>
      </c>
      <c r="K13" s="34">
        <f t="shared" si="1"/>
        <v>1.1999999999999997E-2</v>
      </c>
    </row>
    <row r="14" spans="1:11">
      <c r="A14" s="37" t="s">
        <v>86</v>
      </c>
      <c r="B14" s="47">
        <v>7276</v>
      </c>
      <c r="C14" s="47">
        <v>1260</v>
      </c>
      <c r="D14" s="47">
        <v>1059</v>
      </c>
      <c r="E14" s="30">
        <v>0.17299999999999999</v>
      </c>
      <c r="F14" s="30">
        <v>0.14599999999999999</v>
      </c>
      <c r="G14" s="47">
        <v>7276</v>
      </c>
      <c r="H14" s="47">
        <v>1113</v>
      </c>
      <c r="I14" s="30">
        <v>0.153</v>
      </c>
      <c r="J14" s="38">
        <f t="shared" si="0"/>
        <v>201</v>
      </c>
      <c r="K14" s="42">
        <f t="shared" si="1"/>
        <v>2.6999999999999996E-2</v>
      </c>
    </row>
    <row r="15" spans="1:11">
      <c r="A15" s="35" t="s">
        <v>192</v>
      </c>
      <c r="B15" s="10">
        <v>127</v>
      </c>
      <c r="C15" s="10">
        <v>18</v>
      </c>
      <c r="D15" s="10">
        <v>10</v>
      </c>
      <c r="E15" s="32">
        <v>0.14199999999999999</v>
      </c>
      <c r="F15" s="32">
        <v>7.9000000000000001E-2</v>
      </c>
      <c r="G15" s="10">
        <v>149</v>
      </c>
      <c r="H15" s="10">
        <v>32</v>
      </c>
      <c r="I15" s="32">
        <v>0.215</v>
      </c>
      <c r="J15" s="36">
        <f t="shared" si="0"/>
        <v>8</v>
      </c>
      <c r="K15" s="34">
        <f t="shared" si="1"/>
        <v>6.2999999999999987E-2</v>
      </c>
    </row>
    <row r="16" spans="1:11">
      <c r="A16" s="35" t="s">
        <v>193</v>
      </c>
      <c r="B16" s="10">
        <v>44</v>
      </c>
      <c r="C16" s="10">
        <v>11</v>
      </c>
      <c r="D16" s="10">
        <v>5</v>
      </c>
      <c r="E16" s="32">
        <v>0.25</v>
      </c>
      <c r="F16" s="32">
        <v>0.114</v>
      </c>
      <c r="G16" s="10">
        <v>43</v>
      </c>
      <c r="H16" s="10">
        <v>4</v>
      </c>
      <c r="I16" s="32">
        <v>9.3000000000000013E-2</v>
      </c>
      <c r="J16" s="36">
        <f t="shared" si="0"/>
        <v>6</v>
      </c>
      <c r="K16" s="34">
        <f t="shared" si="1"/>
        <v>0.13600000000000001</v>
      </c>
    </row>
    <row r="17" spans="1:11">
      <c r="A17" s="35" t="s">
        <v>194</v>
      </c>
      <c r="B17" s="10">
        <v>8276</v>
      </c>
      <c r="C17" s="10">
        <v>1028</v>
      </c>
      <c r="D17" s="10">
        <v>678</v>
      </c>
      <c r="E17" s="32">
        <v>0.124</v>
      </c>
      <c r="F17" s="32">
        <v>8.199999999999999E-2</v>
      </c>
      <c r="G17" s="10">
        <v>8210</v>
      </c>
      <c r="H17" s="10">
        <v>671</v>
      </c>
      <c r="I17" s="32">
        <v>8.199999999999999E-2</v>
      </c>
      <c r="J17" s="36">
        <f t="shared" si="0"/>
        <v>350</v>
      </c>
      <c r="K17" s="34">
        <f t="shared" si="1"/>
        <v>4.200000000000001E-2</v>
      </c>
    </row>
    <row r="18" spans="1:11">
      <c r="A18" s="35" t="s">
        <v>195</v>
      </c>
      <c r="B18" s="10">
        <v>592</v>
      </c>
      <c r="C18" s="10">
        <v>69</v>
      </c>
      <c r="D18" s="10">
        <v>41</v>
      </c>
      <c r="E18" s="32">
        <v>0.11700000000000001</v>
      </c>
      <c r="F18" s="32">
        <v>6.9000000000000006E-2</v>
      </c>
      <c r="G18" s="10">
        <v>618</v>
      </c>
      <c r="H18" s="10">
        <v>61</v>
      </c>
      <c r="I18" s="32">
        <v>9.9000000000000005E-2</v>
      </c>
      <c r="J18" s="36">
        <f t="shared" si="0"/>
        <v>28</v>
      </c>
      <c r="K18" s="34">
        <f t="shared" si="1"/>
        <v>4.8000000000000001E-2</v>
      </c>
    </row>
    <row r="19" spans="1:11">
      <c r="A19" s="35" t="s">
        <v>196</v>
      </c>
      <c r="B19" s="10">
        <v>648</v>
      </c>
      <c r="C19" s="10">
        <v>86</v>
      </c>
      <c r="D19" s="10">
        <v>76</v>
      </c>
      <c r="E19" s="32">
        <v>0.13300000000000001</v>
      </c>
      <c r="F19" s="32">
        <v>0.11700000000000001</v>
      </c>
      <c r="G19" s="10">
        <v>656</v>
      </c>
      <c r="H19" s="10">
        <v>92</v>
      </c>
      <c r="I19" s="32">
        <v>0.14000000000000001</v>
      </c>
      <c r="J19" s="36">
        <f t="shared" si="0"/>
        <v>10</v>
      </c>
      <c r="K19" s="34">
        <f t="shared" si="1"/>
        <v>1.6E-2</v>
      </c>
    </row>
    <row r="20" spans="1:11">
      <c r="A20" s="35" t="s">
        <v>197</v>
      </c>
      <c r="B20" s="10">
        <v>896</v>
      </c>
      <c r="C20" s="10">
        <v>129</v>
      </c>
      <c r="D20" s="10">
        <v>112</v>
      </c>
      <c r="E20" s="32">
        <v>0.14399999999999999</v>
      </c>
      <c r="F20" s="32">
        <v>0.125</v>
      </c>
      <c r="G20" s="10">
        <v>966</v>
      </c>
      <c r="H20" s="10">
        <v>175</v>
      </c>
      <c r="I20" s="32">
        <v>0.18099999999999999</v>
      </c>
      <c r="J20" s="36">
        <f t="shared" si="0"/>
        <v>17</v>
      </c>
      <c r="K20" s="34">
        <f t="shared" si="1"/>
        <v>1.8999999999999989E-2</v>
      </c>
    </row>
    <row r="21" spans="1:11">
      <c r="A21" s="35" t="s">
        <v>198</v>
      </c>
      <c r="B21" s="10">
        <v>358</v>
      </c>
      <c r="C21" s="10">
        <v>10</v>
      </c>
      <c r="D21" s="10">
        <v>16</v>
      </c>
      <c r="E21" s="32">
        <v>2.8000000000000001E-2</v>
      </c>
      <c r="F21" s="32">
        <v>4.4999999999999998E-2</v>
      </c>
      <c r="G21" s="10">
        <v>358</v>
      </c>
      <c r="H21" s="10">
        <v>15</v>
      </c>
      <c r="I21" s="32">
        <v>4.2000000000000003E-2</v>
      </c>
      <c r="J21" s="36">
        <f t="shared" si="0"/>
        <v>-6</v>
      </c>
      <c r="K21" s="34">
        <f t="shared" si="1"/>
        <v>-1.6999999999999998E-2</v>
      </c>
    </row>
    <row r="22" spans="1:11">
      <c r="A22" s="35" t="s">
        <v>199</v>
      </c>
      <c r="B22" s="10">
        <v>601</v>
      </c>
      <c r="C22" s="10">
        <v>89</v>
      </c>
      <c r="D22" s="10">
        <v>78</v>
      </c>
      <c r="E22" s="32">
        <v>0.14799999999999999</v>
      </c>
      <c r="F22" s="32">
        <v>0.13</v>
      </c>
      <c r="G22" s="10">
        <v>632</v>
      </c>
      <c r="H22" s="10">
        <v>109</v>
      </c>
      <c r="I22" s="32">
        <v>0.17199999999999999</v>
      </c>
      <c r="J22" s="36">
        <f t="shared" si="0"/>
        <v>11</v>
      </c>
      <c r="K22" s="34">
        <f t="shared" si="1"/>
        <v>1.7999999999999988E-2</v>
      </c>
    </row>
    <row r="23" spans="1:11">
      <c r="A23" s="35" t="s">
        <v>200</v>
      </c>
      <c r="B23" s="10">
        <v>2150</v>
      </c>
      <c r="C23" s="10">
        <v>268</v>
      </c>
      <c r="D23" s="10">
        <v>237</v>
      </c>
      <c r="E23" s="32">
        <v>0.125</v>
      </c>
      <c r="F23" s="32">
        <v>0.11</v>
      </c>
      <c r="G23" s="10">
        <v>2151</v>
      </c>
      <c r="H23" s="10">
        <v>230</v>
      </c>
      <c r="I23" s="32">
        <v>0.107</v>
      </c>
      <c r="J23" s="36">
        <f t="shared" si="0"/>
        <v>31</v>
      </c>
      <c r="K23" s="34">
        <f t="shared" si="1"/>
        <v>1.4999999999999999E-2</v>
      </c>
    </row>
    <row r="25" spans="1:11">
      <c r="A25" s="27" t="s">
        <v>201</v>
      </c>
    </row>
    <row r="26" spans="1:11">
      <c r="A26" s="27" t="s">
        <v>202</v>
      </c>
    </row>
  </sheetData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showGridLines="0" workbookViewId="0">
      <pane ySplit="4" topLeftCell="A5" activePane="bottomLeft" state="frozen"/>
      <selection pane="bottomLeft" activeCell="E30" sqref="E30"/>
    </sheetView>
  </sheetViews>
  <sheetFormatPr defaultRowHeight="17.100000000000001"/>
  <cols>
    <col min="1" max="1" width="24.625" customWidth="1"/>
    <col min="2" max="4" width="16" customWidth="1"/>
    <col min="5" max="5" width="14" customWidth="1"/>
    <col min="6" max="7" width="16" customWidth="1"/>
    <col min="8" max="8" width="18" customWidth="1"/>
  </cols>
  <sheetData>
    <row r="1" spans="1:8" ht="17.45">
      <c r="A1" s="1" t="s">
        <v>203</v>
      </c>
    </row>
    <row r="2" spans="1:8">
      <c r="A2" s="2" t="s">
        <v>204</v>
      </c>
    </row>
    <row r="4" spans="1:8">
      <c r="A4" s="8" t="s">
        <v>69</v>
      </c>
      <c r="B4" s="8" t="s">
        <v>205</v>
      </c>
      <c r="C4" s="8" t="s">
        <v>206</v>
      </c>
      <c r="D4" s="8" t="s">
        <v>207</v>
      </c>
      <c r="E4" s="8" t="s">
        <v>208</v>
      </c>
      <c r="F4" s="8" t="s">
        <v>209</v>
      </c>
      <c r="G4" s="8" t="s">
        <v>210</v>
      </c>
      <c r="H4" s="8" t="s">
        <v>211</v>
      </c>
    </row>
    <row r="5" spans="1:8">
      <c r="A5" s="48" t="s">
        <v>212</v>
      </c>
      <c r="B5" s="10">
        <v>789820</v>
      </c>
      <c r="C5" s="10">
        <v>405811</v>
      </c>
      <c r="D5" s="10">
        <v>405782</v>
      </c>
      <c r="E5" s="10">
        <v>29</v>
      </c>
      <c r="F5" s="10">
        <v>384009</v>
      </c>
      <c r="G5" s="12">
        <f t="shared" ref="G5:G17" si="0">IFERROR(B5/$B$17,0)</f>
        <v>6.848677201696847E-2</v>
      </c>
      <c r="H5" s="14">
        <f t="shared" ref="H5:H16" si="1">IFERROR(B5/($B$17/12),0)</f>
        <v>0.82184126420362169</v>
      </c>
    </row>
    <row r="6" spans="1:8">
      <c r="A6" s="48" t="s">
        <v>213</v>
      </c>
      <c r="B6" s="10">
        <v>754842</v>
      </c>
      <c r="C6" s="10">
        <v>414274</v>
      </c>
      <c r="D6" s="10">
        <v>414262</v>
      </c>
      <c r="E6" s="10">
        <v>12</v>
      </c>
      <c r="F6" s="10">
        <v>340568</v>
      </c>
      <c r="G6" s="12">
        <f t="shared" si="0"/>
        <v>6.5453764101735229E-2</v>
      </c>
      <c r="H6" s="14">
        <f t="shared" si="1"/>
        <v>0.78544516922082275</v>
      </c>
    </row>
    <row r="7" spans="1:8">
      <c r="A7" s="48" t="s">
        <v>214</v>
      </c>
      <c r="B7" s="10">
        <v>879807</v>
      </c>
      <c r="C7" s="10">
        <v>459255</v>
      </c>
      <c r="D7" s="10">
        <v>459171</v>
      </c>
      <c r="E7" s="10">
        <v>84</v>
      </c>
      <c r="F7" s="10">
        <v>420552</v>
      </c>
      <c r="G7" s="12">
        <f t="shared" si="0"/>
        <v>7.6289713387775668E-2</v>
      </c>
      <c r="H7" s="14">
        <f t="shared" si="1"/>
        <v>0.91547656065330807</v>
      </c>
    </row>
    <row r="8" spans="1:8">
      <c r="A8" s="48" t="s">
        <v>215</v>
      </c>
      <c r="B8" s="10">
        <v>966041</v>
      </c>
      <c r="C8" s="10">
        <v>532081</v>
      </c>
      <c r="D8" s="10">
        <v>532059</v>
      </c>
      <c r="E8" s="10">
        <v>22</v>
      </c>
      <c r="F8" s="10">
        <v>433960</v>
      </c>
      <c r="G8" s="12">
        <f t="shared" si="0"/>
        <v>8.376722509691352E-2</v>
      </c>
      <c r="H8" s="14">
        <f t="shared" si="1"/>
        <v>1.0052067011629624</v>
      </c>
    </row>
    <row r="9" spans="1:8">
      <c r="A9" s="48" t="s">
        <v>216</v>
      </c>
      <c r="B9" s="10">
        <v>1354066</v>
      </c>
      <c r="C9" s="10">
        <v>540595</v>
      </c>
      <c r="D9" s="10">
        <v>540499</v>
      </c>
      <c r="E9" s="10">
        <v>96</v>
      </c>
      <c r="F9" s="10">
        <v>813471</v>
      </c>
      <c r="G9" s="12">
        <f t="shared" si="0"/>
        <v>0.1174135998555727</v>
      </c>
      <c r="H9" s="14">
        <f t="shared" si="1"/>
        <v>1.4089631982668724</v>
      </c>
    </row>
    <row r="10" spans="1:8">
      <c r="A10" s="48" t="s">
        <v>217</v>
      </c>
      <c r="B10" s="10">
        <v>1093678</v>
      </c>
      <c r="C10" s="10">
        <v>503973</v>
      </c>
      <c r="D10" s="10">
        <v>503904</v>
      </c>
      <c r="E10" s="10">
        <v>69</v>
      </c>
      <c r="F10" s="10">
        <v>589705</v>
      </c>
      <c r="G10" s="12">
        <f t="shared" si="0"/>
        <v>9.483486850924773E-2</v>
      </c>
      <c r="H10" s="14">
        <f t="shared" si="1"/>
        <v>1.1380184221109728</v>
      </c>
    </row>
    <row r="11" spans="1:8">
      <c r="A11" s="48" t="s">
        <v>218</v>
      </c>
      <c r="B11" s="10">
        <v>925892</v>
      </c>
      <c r="C11" s="10">
        <v>505129</v>
      </c>
      <c r="D11" s="10">
        <v>505125</v>
      </c>
      <c r="E11" s="10">
        <v>4</v>
      </c>
      <c r="F11" s="10">
        <v>420763</v>
      </c>
      <c r="G11" s="12">
        <f t="shared" si="0"/>
        <v>8.0285830083227788E-2</v>
      </c>
      <c r="H11" s="14">
        <f t="shared" si="1"/>
        <v>0.96342996099873357</v>
      </c>
    </row>
    <row r="12" spans="1:8">
      <c r="A12" s="48" t="s">
        <v>219</v>
      </c>
      <c r="B12" s="10">
        <v>1277152</v>
      </c>
      <c r="C12" s="10">
        <v>713209</v>
      </c>
      <c r="D12" s="10">
        <v>713081</v>
      </c>
      <c r="E12" s="10">
        <v>128</v>
      </c>
      <c r="F12" s="10">
        <v>563943</v>
      </c>
      <c r="G12" s="12">
        <f t="shared" si="0"/>
        <v>0.11074424280850741</v>
      </c>
      <c r="H12" s="14">
        <f t="shared" si="1"/>
        <v>1.3289309137020888</v>
      </c>
    </row>
    <row r="13" spans="1:8">
      <c r="A13" s="48" t="s">
        <v>220</v>
      </c>
      <c r="B13" s="10">
        <v>843143</v>
      </c>
      <c r="C13" s="10">
        <v>499274</v>
      </c>
      <c r="D13" s="10">
        <v>499234</v>
      </c>
      <c r="E13" s="10">
        <v>40</v>
      </c>
      <c r="F13" s="10">
        <v>343869</v>
      </c>
      <c r="G13" s="12">
        <f t="shared" si="0"/>
        <v>7.3110509253631023E-2</v>
      </c>
      <c r="H13" s="14">
        <f t="shared" si="1"/>
        <v>0.87732611104357228</v>
      </c>
    </row>
    <row r="14" spans="1:8">
      <c r="A14" s="48" t="s">
        <v>221</v>
      </c>
      <c r="B14" s="10">
        <v>1026339</v>
      </c>
      <c r="C14" s="10">
        <v>535217</v>
      </c>
      <c r="D14" s="10">
        <v>535135</v>
      </c>
      <c r="E14" s="10">
        <v>82</v>
      </c>
      <c r="F14" s="10">
        <v>491122</v>
      </c>
      <c r="G14" s="12">
        <f t="shared" si="0"/>
        <v>8.8995777652026292E-2</v>
      </c>
      <c r="H14" s="14">
        <f t="shared" si="1"/>
        <v>1.0679493318243156</v>
      </c>
    </row>
    <row r="15" spans="1:8">
      <c r="A15" s="48" t="s">
        <v>222</v>
      </c>
      <c r="B15" s="10">
        <v>925254</v>
      </c>
      <c r="C15" s="10">
        <v>463651</v>
      </c>
      <c r="D15" s="10">
        <v>463572</v>
      </c>
      <c r="E15" s="10">
        <v>79</v>
      </c>
      <c r="F15" s="10">
        <v>461603</v>
      </c>
      <c r="G15" s="12">
        <f t="shared" si="0"/>
        <v>8.0230507907862736E-2</v>
      </c>
      <c r="H15" s="14">
        <f t="shared" si="1"/>
        <v>0.96276609489435294</v>
      </c>
    </row>
    <row r="16" spans="1:8">
      <c r="A16" s="48" t="s">
        <v>223</v>
      </c>
      <c r="B16" s="10">
        <v>696412</v>
      </c>
      <c r="C16" s="10">
        <v>397965</v>
      </c>
      <c r="D16" s="10">
        <v>397965</v>
      </c>
      <c r="E16" s="25" t="s">
        <v>28</v>
      </c>
      <c r="F16" s="10">
        <v>298447</v>
      </c>
      <c r="G16" s="12">
        <f t="shared" si="0"/>
        <v>6.0387189326531421E-2</v>
      </c>
      <c r="H16" s="14">
        <f t="shared" si="1"/>
        <v>0.72464627191837705</v>
      </c>
    </row>
    <row r="17" spans="1:8">
      <c r="A17" s="21" t="s">
        <v>224</v>
      </c>
      <c r="B17" s="23">
        <f>SUM(B5:B16)</f>
        <v>11532446</v>
      </c>
      <c r="C17" s="23">
        <f>SUM(C5:C16)</f>
        <v>5970434</v>
      </c>
      <c r="D17" s="23">
        <f>SUM(D5:D16)</f>
        <v>5969789</v>
      </c>
      <c r="E17" s="23">
        <f>SUM(E5:E16)</f>
        <v>645</v>
      </c>
      <c r="F17" s="23">
        <f>SUM(F5:F16)</f>
        <v>5562012</v>
      </c>
      <c r="G17" s="24">
        <f t="shared" si="0"/>
        <v>1</v>
      </c>
      <c r="H17" s="25" t="s">
        <v>28</v>
      </c>
    </row>
    <row r="19" spans="1:8" ht="17.45">
      <c r="A19" s="1" t="s">
        <v>225</v>
      </c>
    </row>
    <row r="20" spans="1:8">
      <c r="A20" s="8" t="s">
        <v>226</v>
      </c>
      <c r="B20" s="8" t="s">
        <v>227</v>
      </c>
      <c r="C20" s="8"/>
      <c r="D20" s="8" t="s">
        <v>228</v>
      </c>
    </row>
    <row r="21" spans="1:8">
      <c r="A21" s="9" t="s">
        <v>229</v>
      </c>
      <c r="B21" s="13">
        <f>IFERROR(B17/'03_인구수'!B6,0)</f>
        <v>44.323171528498406</v>
      </c>
      <c r="C21" s="35"/>
      <c r="D21" s="35" t="s">
        <v>230</v>
      </c>
    </row>
    <row r="22" spans="1:8">
      <c r="A22" s="9" t="s">
        <v>231</v>
      </c>
      <c r="B22" s="12">
        <f>IFERROR(C17/B17,0)</f>
        <v>0.51770751842237106</v>
      </c>
      <c r="C22" s="35"/>
      <c r="D22" s="35" t="s">
        <v>232</v>
      </c>
    </row>
    <row r="23" spans="1:8">
      <c r="A23" s="9" t="s">
        <v>233</v>
      </c>
      <c r="B23" s="49">
        <f>IFERROR(E17/B17,0)</f>
        <v>5.5929158480343201E-5</v>
      </c>
      <c r="C23" s="35"/>
      <c r="D23" s="35" t="s">
        <v>234</v>
      </c>
    </row>
    <row r="24" spans="1:8">
      <c r="A24" s="9" t="s">
        <v>235</v>
      </c>
      <c r="B24" s="12">
        <f>IFERROR((B9+B12)/B17,0)</f>
        <v>0.2281578426640801</v>
      </c>
      <c r="C24" s="35"/>
      <c r="D24" s="35" t="s">
        <v>236</v>
      </c>
    </row>
    <row r="25" spans="1:8">
      <c r="A25" s="9" t="s">
        <v>237</v>
      </c>
      <c r="B25" s="14">
        <f>IFERROR(MAX(B5:B16)/MIN(B5:B16),0)</f>
        <v>1.9443461629035685</v>
      </c>
      <c r="C25" s="35"/>
      <c r="D25" s="35" t="s">
        <v>238</v>
      </c>
    </row>
    <row r="26" spans="1:8">
      <c r="A26" s="9" t="s">
        <v>239</v>
      </c>
      <c r="B26" s="11">
        <f>IFERROR(B17/'02_가게수'!D6,0)</f>
        <v>1584.9980758658603</v>
      </c>
      <c r="C26" s="35"/>
      <c r="D26" s="35" t="s">
        <v>240</v>
      </c>
    </row>
    <row r="28" spans="1:8">
      <c r="A28" s="27" t="s">
        <v>241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showGridLines="0" workbookViewId="0">
      <pane ySplit="4" topLeftCell="A5" activePane="bottomLeft" state="frozen"/>
      <selection pane="bottomLeft" activeCell="G30" sqref="G30"/>
    </sheetView>
  </sheetViews>
  <sheetFormatPr defaultRowHeight="17.100000000000001"/>
  <cols>
    <col min="1" max="1" width="30" customWidth="1"/>
    <col min="2" max="6" width="14" customWidth="1"/>
    <col min="7" max="7" width="40" customWidth="1"/>
  </cols>
  <sheetData>
    <row r="1" spans="1:7" ht="17.45">
      <c r="A1" s="1" t="s">
        <v>242</v>
      </c>
    </row>
    <row r="2" spans="1:7">
      <c r="A2" s="2" t="s">
        <v>243</v>
      </c>
    </row>
    <row r="4" spans="1:7">
      <c r="A4" s="8" t="s">
        <v>226</v>
      </c>
      <c r="B4" s="8" t="s">
        <v>91</v>
      </c>
      <c r="C4" s="8" t="s">
        <v>80</v>
      </c>
      <c r="D4" s="8" t="s">
        <v>92</v>
      </c>
      <c r="E4" s="8" t="s">
        <v>93</v>
      </c>
      <c r="F4" s="8" t="s">
        <v>94</v>
      </c>
      <c r="G4" s="8" t="s">
        <v>228</v>
      </c>
    </row>
    <row r="5" spans="1:7">
      <c r="A5" s="9" t="s">
        <v>244</v>
      </c>
      <c r="B5" s="11">
        <f>'03_인구수'!B5</f>
        <v>199230</v>
      </c>
      <c r="C5" s="17">
        <f>'03_인구수'!B6</f>
        <v>260190</v>
      </c>
      <c r="D5" s="11">
        <f>'03_인구수'!B7</f>
        <v>273733</v>
      </c>
      <c r="E5" s="11">
        <f>'03_인구수'!B8</f>
        <v>116699</v>
      </c>
      <c r="F5" s="11">
        <f>'03_인구수'!B9</f>
        <v>155979</v>
      </c>
      <c r="G5" s="50" t="s">
        <v>245</v>
      </c>
    </row>
    <row r="6" spans="1:7">
      <c r="A6" s="9" t="s">
        <v>246</v>
      </c>
      <c r="B6" s="11">
        <f>'02_가게수'!B5</f>
        <v>29821</v>
      </c>
      <c r="C6" s="17">
        <f>'02_가게수'!B6</f>
        <v>40700</v>
      </c>
      <c r="D6" s="11">
        <f>'02_가게수'!B7</f>
        <v>35964</v>
      </c>
      <c r="E6" s="11">
        <f>'02_가게수'!B8</f>
        <v>19835</v>
      </c>
      <c r="F6" s="11">
        <f>'02_가게수'!B9</f>
        <v>20315</v>
      </c>
      <c r="G6" s="50" t="s">
        <v>247</v>
      </c>
    </row>
    <row r="7" spans="1:7">
      <c r="A7" s="9" t="s">
        <v>248</v>
      </c>
      <c r="B7" s="11">
        <f>'02_가게수'!E5</f>
        <v>12161</v>
      </c>
      <c r="C7" s="17">
        <f>'02_가게수'!E6</f>
        <v>15175</v>
      </c>
      <c r="D7" s="11">
        <f>'02_가게수'!E7</f>
        <v>13545</v>
      </c>
      <c r="E7" s="11">
        <f>'02_가게수'!E8</f>
        <v>5502</v>
      </c>
      <c r="F7" s="11">
        <f>'02_가게수'!E9</f>
        <v>7334</v>
      </c>
      <c r="G7" s="50" t="s">
        <v>249</v>
      </c>
    </row>
    <row r="8" spans="1:7">
      <c r="A8" s="9" t="s">
        <v>89</v>
      </c>
      <c r="B8" s="13">
        <f>'02_가게수'!G5</f>
        <v>61.040004015459523</v>
      </c>
      <c r="C8" s="19">
        <f>'02_가게수'!G6</f>
        <v>58.322764133902147</v>
      </c>
      <c r="D8" s="13">
        <f>'02_가게수'!G7</f>
        <v>49.482524942188192</v>
      </c>
      <c r="E8" s="13">
        <f>'02_가게수'!G8</f>
        <v>47.146933564126513</v>
      </c>
      <c r="F8" s="13">
        <f>'02_가게수'!G9</f>
        <v>47.0191500137839</v>
      </c>
      <c r="G8" s="50" t="s">
        <v>250</v>
      </c>
    </row>
    <row r="9" spans="1:7">
      <c r="A9" s="9" t="s">
        <v>251</v>
      </c>
      <c r="B9" s="14">
        <f>'02_가게수'!H5</f>
        <v>0.70465377067563784</v>
      </c>
      <c r="C9" s="20">
        <f>'02_가게수'!H6</f>
        <v>0.92112925686795799</v>
      </c>
      <c r="D9" s="14">
        <f>'02_가게수'!H7</f>
        <v>0.66666666666666663</v>
      </c>
      <c r="E9" s="14">
        <f>'02_가게수'!H8</f>
        <v>0.66475037821482608</v>
      </c>
      <c r="F9" s="14">
        <f>'02_가게수'!H9</f>
        <v>0.88292682926829269</v>
      </c>
      <c r="G9" s="50" t="s">
        <v>252</v>
      </c>
    </row>
    <row r="10" spans="1:7">
      <c r="A10" s="9" t="s">
        <v>253</v>
      </c>
      <c r="B10" s="11">
        <f>'05_개업가게수'!D5</f>
        <v>3207</v>
      </c>
      <c r="C10" s="17">
        <f>'05_개업가게수'!D8</f>
        <v>4356</v>
      </c>
      <c r="D10" s="11">
        <f>'05_개업가게수'!D11</f>
        <v>4014</v>
      </c>
      <c r="E10" s="11">
        <f>'05_개업가게수'!D14</f>
        <v>2435</v>
      </c>
      <c r="F10" s="11">
        <f>'05_개업가게수'!D17</f>
        <v>2330</v>
      </c>
      <c r="G10" s="50" t="s">
        <v>254</v>
      </c>
    </row>
    <row r="11" spans="1:7">
      <c r="A11" s="9" t="s">
        <v>166</v>
      </c>
      <c r="B11" s="12">
        <f>'05_개업가게수'!G5</f>
        <v>0.108</v>
      </c>
      <c r="C11" s="18">
        <f>'05_개업가게수'!G8</f>
        <v>0.107</v>
      </c>
      <c r="D11" s="12">
        <f>'05_개업가게수'!G11</f>
        <v>0.112</v>
      </c>
      <c r="E11" s="12">
        <f>'05_개업가게수'!G14</f>
        <v>0.123</v>
      </c>
      <c r="F11" s="12">
        <f>'05_개업가게수'!G17</f>
        <v>0.115</v>
      </c>
      <c r="G11" s="50" t="s">
        <v>255</v>
      </c>
    </row>
    <row r="12" spans="1:7">
      <c r="A12" s="9" t="s">
        <v>171</v>
      </c>
      <c r="B12" s="12">
        <f>'06_폐업가게수'!D5</f>
        <v>0.104</v>
      </c>
      <c r="C12" s="18">
        <f>'06_폐업가게수'!D8</f>
        <v>0.1</v>
      </c>
      <c r="D12" s="12">
        <f>'06_폐업가게수'!D11</f>
        <v>0.10100000000000001</v>
      </c>
      <c r="E12" s="12">
        <f>'06_폐업가게수'!D14</f>
        <v>0.1</v>
      </c>
      <c r="F12" s="12">
        <f>'06_폐업가게수'!D17</f>
        <v>9.6000000000000002E-2</v>
      </c>
      <c r="G12" s="50" t="s">
        <v>256</v>
      </c>
    </row>
    <row r="13" spans="1:7">
      <c r="A13" s="9" t="s">
        <v>257</v>
      </c>
      <c r="B13" s="34">
        <f>'06_폐업가게수'!F5</f>
        <v>1.0000000000000009E-2</v>
      </c>
      <c r="C13" s="42">
        <f>'06_폐업가게수'!F8</f>
        <v>1.7999999999999988E-2</v>
      </c>
      <c r="D13" s="34">
        <f>'06_폐업가게수'!F11</f>
        <v>1.7999999999999988E-2</v>
      </c>
      <c r="E13" s="34">
        <f>'06_폐업가게수'!F14</f>
        <v>4.6999999999999986E-2</v>
      </c>
      <c r="F13" s="34">
        <f>'06_폐업가게수'!F17</f>
        <v>2.1000000000000005E-2</v>
      </c>
      <c r="G13" s="50" t="s">
        <v>258</v>
      </c>
    </row>
    <row r="14" spans="1:7">
      <c r="A14" s="9" t="s">
        <v>259</v>
      </c>
      <c r="B14" s="34">
        <f>'06_폐업가게수'!F7</f>
        <v>7.0000000000000062E-3</v>
      </c>
      <c r="C14" s="42">
        <f>'06_폐업가게수'!F10</f>
        <v>2.6999999999999996E-2</v>
      </c>
      <c r="D14" s="34">
        <f>'06_폐업가게수'!F13</f>
        <v>1.7999999999999988E-2</v>
      </c>
      <c r="E14" s="34">
        <f>'06_폐업가게수'!F16</f>
        <v>4.200000000000001E-2</v>
      </c>
      <c r="F14" s="34">
        <f>'06_폐업가게수'!F19</f>
        <v>3.1E-2</v>
      </c>
      <c r="G14" s="50" t="s">
        <v>260</v>
      </c>
    </row>
    <row r="15" spans="1:7">
      <c r="A15" s="9" t="s">
        <v>261</v>
      </c>
      <c r="B15" s="34">
        <f>'06_폐업가게수'!F6</f>
        <v>2.9999999999999888E-3</v>
      </c>
      <c r="C15" s="42">
        <f>'06_폐업가게수'!F9</f>
        <v>-2.0000000000000018E-3</v>
      </c>
      <c r="D15" s="34">
        <f>'06_폐업가게수'!F12</f>
        <v>9.999999999999995E-3</v>
      </c>
      <c r="E15" s="34">
        <f>'06_폐업가게수'!F15</f>
        <v>1.3999999999999985E-2</v>
      </c>
      <c r="F15" s="34">
        <f>'06_폐업가게수'!F18</f>
        <v>1.0000000000000009E-3</v>
      </c>
      <c r="G15" s="50" t="s">
        <v>262</v>
      </c>
    </row>
    <row r="17" spans="1:7" ht="17.45">
      <c r="A17" s="1" t="s">
        <v>263</v>
      </c>
    </row>
    <row r="18" spans="1:7">
      <c r="A18" s="8" t="s">
        <v>264</v>
      </c>
      <c r="B18" s="8" t="s">
        <v>265</v>
      </c>
    </row>
    <row r="19" spans="1:7">
      <c r="A19" s="9" t="s">
        <v>266</v>
      </c>
      <c r="B19" s="51" t="s">
        <v>267</v>
      </c>
      <c r="C19" s="52"/>
      <c r="D19" s="52"/>
      <c r="E19" s="52"/>
      <c r="F19" s="52"/>
      <c r="G19" s="53"/>
    </row>
    <row r="20" spans="1:7">
      <c r="A20" s="9" t="s">
        <v>268</v>
      </c>
      <c r="B20" s="51" t="s">
        <v>269</v>
      </c>
      <c r="C20" s="52"/>
      <c r="D20" s="52"/>
      <c r="E20" s="52"/>
      <c r="F20" s="52"/>
      <c r="G20" s="53"/>
    </row>
    <row r="21" spans="1:7">
      <c r="A21" s="9" t="s">
        <v>270</v>
      </c>
      <c r="B21" s="51" t="s">
        <v>271</v>
      </c>
      <c r="C21" s="52"/>
      <c r="D21" s="52"/>
      <c r="E21" s="52"/>
      <c r="F21" s="52"/>
      <c r="G21" s="53"/>
    </row>
    <row r="22" spans="1:7">
      <c r="A22" s="9" t="s">
        <v>272</v>
      </c>
      <c r="B22" s="51" t="s">
        <v>273</v>
      </c>
      <c r="C22" s="52"/>
      <c r="D22" s="52"/>
      <c r="E22" s="52"/>
      <c r="F22" s="52"/>
      <c r="G22" s="53"/>
    </row>
    <row r="23" spans="1:7">
      <c r="A23" s="9" t="s">
        <v>274</v>
      </c>
      <c r="B23" s="51" t="s">
        <v>275</v>
      </c>
      <c r="C23" s="52"/>
      <c r="D23" s="52"/>
      <c r="E23" s="52"/>
      <c r="F23" s="52"/>
      <c r="G23" s="53"/>
    </row>
    <row r="24" spans="1:7">
      <c r="A24" s="9" t="s">
        <v>276</v>
      </c>
      <c r="B24" s="51" t="s">
        <v>277</v>
      </c>
      <c r="C24" s="52"/>
      <c r="D24" s="52"/>
      <c r="E24" s="52"/>
      <c r="F24" s="52"/>
      <c r="G24" s="53"/>
    </row>
    <row r="25" spans="1:7">
      <c r="A25" s="9" t="s">
        <v>278</v>
      </c>
      <c r="B25" s="51" t="s">
        <v>279</v>
      </c>
      <c r="C25" s="52"/>
      <c r="D25" s="52"/>
      <c r="E25" s="52"/>
      <c r="F25" s="52"/>
      <c r="G25" s="53"/>
    </row>
  </sheetData>
  <mergeCells count="7">
    <mergeCell ref="B25:G25"/>
    <mergeCell ref="B24:G24"/>
    <mergeCell ref="B19:G19"/>
    <mergeCell ref="B20:G20"/>
    <mergeCell ref="B22:G22"/>
    <mergeCell ref="B23:G23"/>
    <mergeCell ref="B21:G21"/>
  </mergeCells>
  <phoneticPr fontId="9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Hyun Ko</cp:lastModifiedBy>
  <cp:revision/>
  <dcterms:created xsi:type="dcterms:W3CDTF">2026-08-24T06:50:46Z</dcterms:created>
  <dcterms:modified xsi:type="dcterms:W3CDTF">2026-09-07T09:02:48Z</dcterms:modified>
  <cp:category/>
  <cp:contentStatus/>
</cp:coreProperties>
</file>