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hyunko_microsoft_com/Documents/★WORK/04. copilot/01. 소개자료/기본교육/Basic/DNC/"/>
    </mc:Choice>
  </mc:AlternateContent>
  <xr:revisionPtr revIDLastSave="8" documentId="8_{651835EC-5E4F-4618-A1F9-28E680176D72}" xr6:coauthVersionLast="47" xr6:coauthVersionMax="47" xr10:uidLastSave="{8F28743B-5710-494A-8E1E-72F6D6307C32}"/>
  <bookViews>
    <workbookView xWindow="-110" yWindow="-110" windowWidth="25180" windowHeight="16140" firstSheet="4" activeTab="6" xr2:uid="{00000000-000D-0000-FFFF-FFFF00000000}"/>
  </bookViews>
  <sheets>
    <sheet name="01_상권요약" sheetId="9" r:id="rId1"/>
    <sheet name="02_가게수" sheetId="3" r:id="rId2"/>
    <sheet name="03_인구수" sheetId="4" r:id="rId3"/>
    <sheet name="04_가게생존율" sheetId="5" r:id="rId4"/>
    <sheet name="05_개업가게수" sheetId="6" r:id="rId5"/>
    <sheet name="06_폐업가게수" sheetId="7" r:id="rId6"/>
    <sheet name="연령대별 소비 스타일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C10" i="4"/>
  <c r="B10" i="4"/>
  <c r="D9" i="4"/>
  <c r="D8" i="4"/>
  <c r="D7" i="4"/>
  <c r="D6" i="4"/>
  <c r="D5" i="4"/>
  <c r="D10" i="3"/>
  <c r="C10" i="3"/>
  <c r="B10" i="3"/>
  <c r="E9" i="3"/>
  <c r="F9" i="3" s="1"/>
  <c r="E8" i="3"/>
  <c r="F8" i="3" s="1"/>
  <c r="E7" i="3"/>
  <c r="F7" i="3" s="1"/>
  <c r="E6" i="3"/>
  <c r="F6" i="3" s="1"/>
  <c r="E5" i="3"/>
  <c r="D10" i="4" l="1"/>
  <c r="E7" i="4"/>
  <c r="E6" i="4"/>
  <c r="E5" i="4"/>
  <c r="E10" i="4"/>
  <c r="E9" i="4"/>
  <c r="E8" i="4"/>
  <c r="F5" i="3"/>
  <c r="E10" i="3"/>
  <c r="F10" i="3" s="1"/>
</calcChain>
</file>

<file path=xl/sharedStrings.xml><?xml version="1.0" encoding="utf-8"?>
<sst xmlns="http://schemas.openxmlformats.org/spreadsheetml/2006/main" count="181" uniqueCount="96">
  <si>
    <t>인구수</t>
  </si>
  <si>
    <t>기준시점</t>
  </si>
  <si>
    <t>2024년</t>
  </si>
  <si>
    <t>2025년 12월</t>
  </si>
  <si>
    <t>가게수 (활동기업 수 기준)</t>
  </si>
  <si>
    <t>출처: KOSIS 기업생멸행정통계 DT_6BD1132 · 2024년 기준 · 단위: 개 (기업/사업자 기준, 점포 기준 아님)</t>
  </si>
  <si>
    <t>지역</t>
  </si>
  <si>
    <t>활동기업수 전체</t>
  </si>
  <si>
    <t>도매 및 소매업</t>
  </si>
  <si>
    <t>숙박 및 음식점업</t>
  </si>
  <si>
    <t>생활밀착업종 계</t>
  </si>
  <si>
    <t>인구 1천명당 생활밀착점포</t>
  </si>
  <si>
    <t>동구</t>
  </si>
  <si>
    <t>중구</t>
  </si>
  <si>
    <t>서구</t>
  </si>
  <si>
    <t>유성구</t>
  </si>
  <si>
    <t>대덕구</t>
  </si>
  <si>
    <t>대전광역시</t>
  </si>
  <si>
    <t>※ 원본 서울 파일은 점포 기준으로 추정되며, 본 시트는 기업(사업자) 기준입니다. 자치구 간 상대비교 용도로만 사용하십시오.</t>
  </si>
  <si>
    <t>주거인구·세대수 출처: 행정안전부 주민등록 인구통계 2026년 7월 기준 · 단위: 명 / 세대</t>
  </si>
  <si>
    <t>주거인구</t>
  </si>
  <si>
    <t>세대수</t>
  </si>
  <si>
    <t>세대당 인구</t>
  </si>
  <si>
    <t>주거인구 구성비</t>
  </si>
  <si>
    <t>※ 서울 원본의 유동인구/주거인구/직장인구는 '상권 영역' 단위 평균값입니다. 본 시트는 자치구 총계이므로 서울 파일과 스케일이 다릅니다.</t>
  </si>
  <si>
    <t>※ 예시 입력 형식 — 유동인구: 23456789 / 직장인구: 98765 (정수, 쉼표 없이 입력)</t>
  </si>
  <si>
    <t>신생기업 생존율</t>
  </si>
  <si>
    <t>출처: KOSIS 기업생멸행정통계 DT_6BD1102 · 시도 단위만 제공 · 자치구 단위는 국내 공개통계에 존재하지 않음</t>
  </si>
  <si>
    <t>기준연도</t>
  </si>
  <si>
    <t>1년 생존율</t>
  </si>
  <si>
    <t>2년</t>
  </si>
  <si>
    <t>3년</t>
  </si>
  <si>
    <t>4년</t>
  </si>
  <si>
    <t>5년</t>
  </si>
  <si>
    <t>6년</t>
  </si>
  <si>
    <t>7년</t>
  </si>
  <si>
    <t>2022</t>
  </si>
  <si>
    <t>2023</t>
  </si>
  <si>
    <t>전국</t>
  </si>
  <si>
    <t>서울특별시</t>
  </si>
  <si>
    <t>개업가게수 (신생기업 수)</t>
  </si>
  <si>
    <t>출처: KOSIS 기업생멸행정통계 DT_6BD1132 · 단위: 개</t>
  </si>
  <si>
    <t>업종</t>
  </si>
  <si>
    <t>2023년</t>
  </si>
  <si>
    <t>23→24 증감</t>
  </si>
  <si>
    <t>2024 신생률</t>
  </si>
  <si>
    <t>전체</t>
  </si>
  <si>
    <t>폐업가게수 (소멸기업 수)</t>
  </si>
  <si>
    <t>2023 소멸률</t>
  </si>
  <si>
    <t>2023 순증(신생-소멸)</t>
  </si>
  <si>
    <t>대전 상권 요약 (시 전체)</t>
  </si>
  <si>
    <t>출처: 대전광역시 빅데이터포털 https://bigdata.daejeon.go.kr</t>
  </si>
  <si>
    <t>지표</t>
  </si>
  <si>
    <t>값</t>
  </si>
  <si>
    <t>단위</t>
  </si>
  <si>
    <t>비고</t>
  </si>
  <si>
    <t>소비동향 총 매출액</t>
  </si>
  <si>
    <t>억원</t>
  </si>
  <si>
    <t>전년동월 대비 0.00%</t>
  </si>
  <si>
    <t>월별 평균 유동인구</t>
  </si>
  <si>
    <t>명</t>
  </si>
  <si>
    <t>전년동월 대비 -3.27%</t>
  </si>
  <si>
    <t>주요상권 매출액</t>
  </si>
  <si>
    <t>주요상권 한정</t>
  </si>
  <si>
    <t>주요관광상권 관광객 수</t>
  </si>
  <si>
    <t>2025년 11월</t>
  </si>
  <si>
    <t>전월 대비 -49.2%</t>
  </si>
  <si>
    <t>주요상권 매출 비중</t>
  </si>
  <si>
    <t>주요상권 매출액 ÷ 소비동향 총 매출액</t>
  </si>
  <si>
    <r>
      <rPr>
        <sz val="9"/>
        <color rgb="FF595959"/>
        <rFont val="맑은 고딕"/>
        <family val="3"/>
        <charset val="129"/>
      </rPr>
      <t>출처</t>
    </r>
    <r>
      <rPr>
        <sz val="9"/>
        <color rgb="FF595959"/>
        <rFont val="Arial"/>
        <family val="2"/>
      </rPr>
      <t xml:space="preserve">: KOSIS </t>
    </r>
    <r>
      <rPr>
        <sz val="9"/>
        <color rgb="FF595959"/>
        <rFont val="맑은 고딕"/>
        <family val="3"/>
        <charset val="129"/>
      </rPr>
      <t>기업생멸행정통계</t>
    </r>
    <r>
      <rPr>
        <sz val="9"/>
        <color rgb="FF595959"/>
        <rFont val="Arial"/>
        <family val="2"/>
      </rPr>
      <t xml:space="preserve"> DT_6BD1132 · </t>
    </r>
    <r>
      <rPr>
        <sz val="9"/>
        <color rgb="FF595959"/>
        <rFont val="맑은 고딕"/>
        <family val="3"/>
        <charset val="129"/>
      </rPr>
      <t>단위</t>
    </r>
    <r>
      <rPr>
        <sz val="9"/>
        <color rgb="FF595959"/>
        <rFont val="Arial"/>
        <family val="2"/>
      </rPr>
      <t xml:space="preserve">: </t>
    </r>
    <r>
      <rPr>
        <sz val="9"/>
        <color rgb="FF595959"/>
        <rFont val="맑은 고딕"/>
        <family val="3"/>
        <charset val="129"/>
      </rPr>
      <t>개</t>
    </r>
    <r>
      <rPr>
        <sz val="9"/>
        <color rgb="FF595959"/>
        <rFont val="Arial"/>
        <family val="2"/>
      </rPr>
      <t xml:space="preserve"> </t>
    </r>
    <phoneticPr fontId="8" type="noConversion"/>
  </si>
  <si>
    <t>소비 스타일</t>
  </si>
  <si>
    <t>20대</t>
  </si>
  <si>
    <t>30대</t>
  </si>
  <si>
    <t>40대</t>
  </si>
  <si>
    <t>50대</t>
  </si>
  <si>
    <t>60대</t>
  </si>
  <si>
    <t>Total</t>
  </si>
  <si>
    <t>플렉스와 짠테크 소비 구분</t>
  </si>
  <si>
    <t>외식장소 찾을 때 무조건 SNS 검색</t>
  </si>
  <si>
    <t>음식점에서 대면보다 키오스크 등 비대면 선호</t>
  </si>
  <si>
    <t>재래시장의 핫한 메뉴 찾아 다니며 즐김</t>
  </si>
  <si>
    <t>음식점/카페는 맛 보다 독특한 경험이 중요</t>
  </si>
  <si>
    <t>채식, 대체육 등 외식 시 친환경 고려 및 실천</t>
  </si>
  <si>
    <t>콜라보레이션 상품에 관심이 높음</t>
  </si>
  <si>
    <t>외식 시 반드시 사진 촬영해 SNS 업로드</t>
  </si>
  <si>
    <t>취향에 맞는 2~3가지 주류·음료 직접 혼합해서 즐김</t>
  </si>
  <si>
    <t>파인다이닝도 가치가 있다면 타 지출 줄여서 방문</t>
  </si>
  <si>
    <t>식품, 음식, 주류 등의 정기 구독 서비스 이용</t>
  </si>
  <si>
    <t>SNS 핫플은 무조건 방문</t>
  </si>
  <si>
    <t>가고 싶은 음식점/카페는 오픈런이라도 방문</t>
  </si>
  <si>
    <t>전통주는 힙하다는 생각에 자주 즐김</t>
  </si>
  <si>
    <t>셀럽이 만들거나 이용하는 상품/음식에 관심 높음</t>
  </si>
  <si>
    <t>스탠딩 매장을 즐김</t>
  </si>
  <si>
    <t>도맥(도너츠+맥주) 즐김</t>
  </si>
  <si>
    <t>모두 해당사항 없음</t>
  </si>
  <si>
    <r>
      <t xml:space="preserve">* 2024 </t>
    </r>
    <r>
      <rPr>
        <i/>
        <sz val="9"/>
        <color rgb="FF808080"/>
        <rFont val="맑은 고딕"/>
        <family val="2"/>
        <charset val="129"/>
      </rPr>
      <t xml:space="preserve">신생률 = </t>
    </r>
    <r>
      <rPr>
        <i/>
        <sz val="9"/>
        <color rgb="FF808080"/>
        <rFont val="Arial"/>
        <family val="2"/>
      </rPr>
      <t xml:space="preserve"> 2024</t>
    </r>
    <r>
      <rPr>
        <i/>
        <sz val="9"/>
        <color rgb="FF808080"/>
        <rFont val="맑은 고딕"/>
        <family val="2"/>
        <charset val="129"/>
      </rPr>
      <t>년</t>
    </r>
    <r>
      <rPr>
        <i/>
        <sz val="9"/>
        <color rgb="FF808080"/>
        <rFont val="Arial"/>
        <family val="2"/>
      </rPr>
      <t xml:space="preserve"> </t>
    </r>
    <r>
      <rPr>
        <i/>
        <sz val="9"/>
        <color rgb="FF808080"/>
        <rFont val="맑은 고딕"/>
        <family val="2"/>
        <charset val="129"/>
      </rPr>
      <t>신생기업</t>
    </r>
    <r>
      <rPr>
        <i/>
        <sz val="9"/>
        <color rgb="FF808080"/>
        <rFont val="Arial"/>
        <family val="2"/>
      </rPr>
      <t xml:space="preserve"> </t>
    </r>
    <r>
      <rPr>
        <i/>
        <sz val="9"/>
        <color rgb="FF808080"/>
        <rFont val="맑은 고딕"/>
        <family val="2"/>
        <charset val="129"/>
      </rPr>
      <t>수</t>
    </r>
    <r>
      <rPr>
        <i/>
        <sz val="9"/>
        <color rgb="FF808080"/>
        <rFont val="Arial"/>
        <family val="2"/>
      </rPr>
      <t xml:space="preserve"> ÷ 2024</t>
    </r>
    <r>
      <rPr>
        <i/>
        <sz val="9"/>
        <color rgb="FF808080"/>
        <rFont val="맑은 고딕"/>
        <family val="2"/>
        <charset val="129"/>
      </rPr>
      <t>년</t>
    </r>
    <r>
      <rPr>
        <i/>
        <sz val="9"/>
        <color rgb="FF808080"/>
        <rFont val="Arial"/>
        <family val="2"/>
      </rPr>
      <t xml:space="preserve"> </t>
    </r>
    <r>
      <rPr>
        <i/>
        <sz val="9"/>
        <color rgb="FF808080"/>
        <rFont val="맑은 고딕"/>
        <family val="2"/>
        <charset val="129"/>
      </rPr>
      <t>활동기업</t>
    </r>
    <r>
      <rPr>
        <i/>
        <sz val="9"/>
        <color rgb="FF808080"/>
        <rFont val="Arial"/>
        <family val="2"/>
      </rPr>
      <t xml:space="preserve"> </t>
    </r>
    <r>
      <rPr>
        <i/>
        <sz val="9"/>
        <color rgb="FF808080"/>
        <rFont val="맑은 고딕"/>
        <family val="2"/>
        <charset val="129"/>
      </rPr>
      <t>수(가게수</t>
    </r>
    <r>
      <rPr>
        <i/>
        <sz val="9"/>
        <color rgb="FF808080"/>
        <rFont val="Arial"/>
        <family val="2"/>
      </rPr>
      <t>Sheet) × 100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</si>
</sst>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#,##0;\(#,##0\);\-"/>
  </numFmts>
  <fonts count="14" x14ac:knownFonts="1">
    <font>
      <sz val="11"/>
      <color theme="1"/>
      <name val="맑은 고딕"/>
      <family val="2"/>
      <scheme val="minor"/>
    </font>
    <font>
      <b/>
      <sz val="13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sz val="8"/>
      <name val="맑은 고딕"/>
      <family val="3"/>
      <charset val="129"/>
      <scheme val="minor"/>
    </font>
    <font>
      <sz val="9"/>
      <color rgb="FF595959"/>
      <name val="맑은 고딕"/>
      <family val="3"/>
      <charset val="129"/>
    </font>
    <font>
      <sz val="9"/>
      <color rgb="FF595959"/>
      <name val="Arial"/>
      <family val="3"/>
      <charset val="129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i/>
      <sz val="9"/>
      <color rgb="FF80808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6" fillId="0" borderId="1" xfId="0" applyNumberFormat="1" applyFont="1" applyBorder="1"/>
    <xf numFmtId="3" fontId="5" fillId="3" borderId="1" xfId="0" applyNumberFormat="1" applyFont="1" applyFill="1" applyBorder="1"/>
    <xf numFmtId="176" fontId="5" fillId="0" borderId="1" xfId="0" applyNumberFormat="1" applyFont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176" fontId="4" fillId="3" borderId="1" xfId="0" applyNumberFormat="1" applyFont="1" applyFill="1" applyBorder="1"/>
    <xf numFmtId="0" fontId="7" fillId="0" borderId="0" xfId="0" applyFont="1"/>
    <xf numFmtId="2" fontId="5" fillId="0" borderId="1" xfId="0" applyNumberFormat="1" applyFont="1" applyBorder="1"/>
    <xf numFmtId="177" fontId="5" fillId="0" borderId="1" xfId="0" applyNumberFormat="1" applyFont="1" applyBorder="1"/>
    <xf numFmtId="2" fontId="4" fillId="3" borderId="1" xfId="0" applyNumberFormat="1" applyFont="1" applyFill="1" applyBorder="1"/>
    <xf numFmtId="177" fontId="4" fillId="3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/>
    <xf numFmtId="0" fontId="5" fillId="0" borderId="1" xfId="0" applyFont="1" applyBorder="1"/>
    <xf numFmtId="178" fontId="5" fillId="0" borderId="1" xfId="0" applyNumberFormat="1" applyFont="1" applyBorder="1"/>
    <xf numFmtId="3" fontId="6" fillId="3" borderId="1" xfId="0" applyNumberFormat="1" applyFont="1" applyFill="1" applyBorder="1"/>
    <xf numFmtId="178" fontId="4" fillId="3" borderId="1" xfId="0" applyNumberFormat="1" applyFont="1" applyFill="1" applyBorder="1"/>
    <xf numFmtId="177" fontId="6" fillId="3" borderId="1" xfId="0" applyNumberFormat="1" applyFont="1" applyFill="1" applyBorder="1"/>
    <xf numFmtId="4" fontId="6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10" fillId="0" borderId="0" xfId="0" applyFont="1"/>
    <xf numFmtId="0" fontId="11" fillId="4" borderId="2" xfId="0" applyFont="1" applyFill="1" applyBorder="1"/>
    <xf numFmtId="0" fontId="11" fillId="4" borderId="3" xfId="0" applyFont="1" applyFill="1" applyBorder="1"/>
    <xf numFmtId="0" fontId="11" fillId="4" borderId="4" xfId="0" applyFont="1" applyFill="1" applyBorder="1"/>
    <xf numFmtId="0" fontId="12" fillId="5" borderId="2" xfId="0" applyFont="1" applyFill="1" applyBorder="1"/>
    <xf numFmtId="0" fontId="12" fillId="5" borderId="3" xfId="0" applyFont="1" applyFill="1" applyBorder="1"/>
    <xf numFmtId="0" fontId="12" fillId="5" borderId="4" xfId="0" applyFont="1" applyFill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showGridLines="0" workbookViewId="0">
      <pane ySplit="4" topLeftCell="A5" activePane="bottomLeft" state="frozen"/>
      <selection pane="bottomLeft" activeCell="B12" sqref="B12"/>
    </sheetView>
  </sheetViews>
  <sheetFormatPr defaultRowHeight="17" x14ac:dyDescent="0.45"/>
  <cols>
    <col min="1" max="1" width="24" customWidth="1"/>
    <col min="2" max="2" width="20" customWidth="1"/>
    <col min="3" max="4" width="14" customWidth="1"/>
    <col min="5" max="5" width="40" customWidth="1"/>
  </cols>
  <sheetData>
    <row r="1" spans="1:5" ht="17.5" x14ac:dyDescent="0.45">
      <c r="A1" s="1" t="s">
        <v>50</v>
      </c>
    </row>
    <row r="2" spans="1:5" x14ac:dyDescent="0.45">
      <c r="A2" s="2" t="s">
        <v>51</v>
      </c>
    </row>
    <row r="4" spans="1:5" x14ac:dyDescent="0.45">
      <c r="A4" s="3" t="s">
        <v>52</v>
      </c>
      <c r="B4" s="3" t="s">
        <v>53</v>
      </c>
      <c r="C4" s="3" t="s">
        <v>54</v>
      </c>
      <c r="D4" s="3" t="s">
        <v>1</v>
      </c>
      <c r="E4" s="3" t="s">
        <v>55</v>
      </c>
    </row>
    <row r="5" spans="1:5" x14ac:dyDescent="0.45">
      <c r="A5" s="4" t="s">
        <v>56</v>
      </c>
      <c r="B5" s="23">
        <v>12769.53</v>
      </c>
      <c r="C5" s="24" t="s">
        <v>57</v>
      </c>
      <c r="D5" s="24" t="s">
        <v>3</v>
      </c>
      <c r="E5" s="18" t="s">
        <v>58</v>
      </c>
    </row>
    <row r="6" spans="1:5" x14ac:dyDescent="0.45">
      <c r="A6" s="4" t="s">
        <v>59</v>
      </c>
      <c r="B6" s="5">
        <v>118867834</v>
      </c>
      <c r="C6" s="24" t="s">
        <v>60</v>
      </c>
      <c r="D6" s="24" t="s">
        <v>3</v>
      </c>
      <c r="E6" s="18" t="s">
        <v>61</v>
      </c>
    </row>
    <row r="7" spans="1:5" x14ac:dyDescent="0.45">
      <c r="A7" s="4" t="s">
        <v>62</v>
      </c>
      <c r="B7" s="23">
        <v>1444.25</v>
      </c>
      <c r="C7" s="24" t="s">
        <v>57</v>
      </c>
      <c r="D7" s="24" t="s">
        <v>3</v>
      </c>
      <c r="E7" s="18" t="s">
        <v>63</v>
      </c>
    </row>
    <row r="8" spans="1:5" x14ac:dyDescent="0.45">
      <c r="A8" s="4" t="s">
        <v>64</v>
      </c>
      <c r="B8" s="5">
        <v>669090</v>
      </c>
      <c r="C8" s="24" t="s">
        <v>60</v>
      </c>
      <c r="D8" s="24" t="s">
        <v>65</v>
      </c>
      <c r="E8" s="18" t="s">
        <v>66</v>
      </c>
    </row>
    <row r="10" spans="1:5" x14ac:dyDescent="0.45">
      <c r="A10" s="4" t="s">
        <v>67</v>
      </c>
      <c r="B10" s="13">
        <f>IFERROR(B7/B5,0)</f>
        <v>0.11310126527757873</v>
      </c>
      <c r="E10" s="18" t="s">
        <v>68</v>
      </c>
    </row>
    <row r="12" spans="1:5" x14ac:dyDescent="0.45">
      <c r="A12" s="11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pane ySplit="4" topLeftCell="A5" activePane="bottomLeft" state="frozen"/>
      <selection pane="bottomLeft" activeCell="M26" sqref="M26"/>
    </sheetView>
  </sheetViews>
  <sheetFormatPr defaultRowHeight="17" x14ac:dyDescent="0.45"/>
  <cols>
    <col min="1" max="1" width="12" customWidth="1"/>
    <col min="2" max="4" width="16" customWidth="1"/>
    <col min="5" max="6" width="14" customWidth="1"/>
  </cols>
  <sheetData>
    <row r="1" spans="1:6" ht="17.5" x14ac:dyDescent="0.45">
      <c r="A1" s="1" t="s">
        <v>4</v>
      </c>
    </row>
    <row r="2" spans="1:6" x14ac:dyDescent="0.45">
      <c r="A2" s="2" t="s">
        <v>5</v>
      </c>
    </row>
    <row r="4" spans="1:6" ht="26" x14ac:dyDescent="0.4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x14ac:dyDescent="0.45">
      <c r="A5" s="4" t="s">
        <v>12</v>
      </c>
      <c r="B5" s="5">
        <v>26884</v>
      </c>
      <c r="C5" s="5">
        <v>7004</v>
      </c>
      <c r="D5" s="5">
        <v>3587</v>
      </c>
      <c r="E5" s="6">
        <f>C5+D5</f>
        <v>10591</v>
      </c>
      <c r="F5" s="7">
        <f>IFERROR(E5/('03_인구수'!B5/1000),0)</f>
        <v>48.571428571428569</v>
      </c>
    </row>
    <row r="6" spans="1:6" x14ac:dyDescent="0.45">
      <c r="A6" s="4" t="s">
        <v>13</v>
      </c>
      <c r="B6" s="5">
        <v>31669</v>
      </c>
      <c r="C6" s="5">
        <v>7261</v>
      </c>
      <c r="D6" s="5">
        <v>4089</v>
      </c>
      <c r="E6" s="6">
        <f>C6+D6</f>
        <v>11350</v>
      </c>
      <c r="F6" s="7">
        <f>IFERROR(E6/('03_인구수'!B6/1000),0)</f>
        <v>50.661953096405014</v>
      </c>
    </row>
    <row r="7" spans="1:6" x14ac:dyDescent="0.45">
      <c r="A7" s="4" t="s">
        <v>14</v>
      </c>
      <c r="B7" s="5">
        <v>60416</v>
      </c>
      <c r="C7" s="5">
        <v>13954</v>
      </c>
      <c r="D7" s="5">
        <v>7771</v>
      </c>
      <c r="E7" s="6">
        <f>C7+D7</f>
        <v>21725</v>
      </c>
      <c r="F7" s="7">
        <f>IFERROR(E7/('03_인구수'!B7/1000),0)</f>
        <v>46.777972043029273</v>
      </c>
    </row>
    <row r="8" spans="1:6" x14ac:dyDescent="0.45">
      <c r="A8" s="4" t="s">
        <v>15</v>
      </c>
      <c r="B8" s="5">
        <v>49974</v>
      </c>
      <c r="C8" s="5">
        <v>11131</v>
      </c>
      <c r="D8" s="5">
        <v>6613</v>
      </c>
      <c r="E8" s="6">
        <f>C8+D8</f>
        <v>17744</v>
      </c>
      <c r="F8" s="7">
        <f>IFERROR(E8/('03_인구수'!B8/1000),0)</f>
        <v>47.7175243038281</v>
      </c>
    </row>
    <row r="9" spans="1:6" x14ac:dyDescent="0.45">
      <c r="A9" s="4" t="s">
        <v>16</v>
      </c>
      <c r="B9" s="5">
        <v>29215</v>
      </c>
      <c r="C9" s="5">
        <v>7340</v>
      </c>
      <c r="D9" s="5">
        <v>2930</v>
      </c>
      <c r="E9" s="6">
        <f>C9+D9</f>
        <v>10270</v>
      </c>
      <c r="F9" s="7">
        <f>IFERROR(E9/('03_인구수'!B9/1000),0)</f>
        <v>62.689610128003999</v>
      </c>
    </row>
    <row r="10" spans="1:6" x14ac:dyDescent="0.45">
      <c r="A10" s="8" t="s">
        <v>17</v>
      </c>
      <c r="B10" s="9">
        <f>B5+B6+B7+B8+B9</f>
        <v>198158</v>
      </c>
      <c r="C10" s="9">
        <f>C5+C6+C7+C8+C9</f>
        <v>46690</v>
      </c>
      <c r="D10" s="9">
        <f>D5+D6+D7+D8+D9</f>
        <v>24990</v>
      </c>
      <c r="E10" s="9">
        <f>E5+E6+E7+E8+E9</f>
        <v>71680</v>
      </c>
      <c r="F10" s="10">
        <f>IFERROR(E10/('03_인구수'!B10/1000),0)</f>
        <v>49.702189031958341</v>
      </c>
    </row>
    <row r="12" spans="1:6" x14ac:dyDescent="0.45">
      <c r="A12" s="11" t="s">
        <v>18</v>
      </c>
    </row>
    <row r="13" spans="1:6" x14ac:dyDescent="0.45">
      <c r="A13" s="11"/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>
      <pane ySplit="4" topLeftCell="A5" activePane="bottomLeft" state="frozen"/>
      <selection pane="bottomLeft" activeCell="J14" sqref="J14"/>
    </sheetView>
  </sheetViews>
  <sheetFormatPr defaultRowHeight="17" x14ac:dyDescent="0.45"/>
  <cols>
    <col min="1" max="1" width="12" customWidth="1"/>
    <col min="2" max="2" width="16" customWidth="1"/>
    <col min="3" max="3" width="14" customWidth="1"/>
    <col min="4" max="4" width="12" customWidth="1"/>
    <col min="5" max="5" width="20" customWidth="1"/>
  </cols>
  <sheetData>
    <row r="1" spans="1:5" ht="17.5" x14ac:dyDescent="0.45">
      <c r="A1" s="1" t="s">
        <v>0</v>
      </c>
    </row>
    <row r="2" spans="1:5" x14ac:dyDescent="0.45">
      <c r="A2" s="2" t="s">
        <v>19</v>
      </c>
    </row>
    <row r="4" spans="1:5" x14ac:dyDescent="0.45">
      <c r="A4" s="3" t="s">
        <v>6</v>
      </c>
      <c r="B4" s="3" t="s">
        <v>20</v>
      </c>
      <c r="C4" s="3" t="s">
        <v>21</v>
      </c>
      <c r="D4" s="3" t="s">
        <v>22</v>
      </c>
      <c r="E4" s="3" t="s">
        <v>23</v>
      </c>
    </row>
    <row r="5" spans="1:5" x14ac:dyDescent="0.45">
      <c r="A5" s="4" t="s">
        <v>12</v>
      </c>
      <c r="B5" s="5">
        <v>218050</v>
      </c>
      <c r="C5" s="5">
        <v>113832</v>
      </c>
      <c r="D5" s="12">
        <f t="shared" ref="D5:D10" si="0">IFERROR(B5/C5,0)</f>
        <v>1.9155422025441</v>
      </c>
      <c r="E5" s="13">
        <f t="shared" ref="E5:E10" si="1">IFERROR(B5/$B$10,0)</f>
        <v>0.15119367073686546</v>
      </c>
    </row>
    <row r="6" spans="1:5" x14ac:dyDescent="0.45">
      <c r="A6" s="4" t="s">
        <v>13</v>
      </c>
      <c r="B6" s="5">
        <v>224034</v>
      </c>
      <c r="C6" s="5">
        <v>109903</v>
      </c>
      <c r="D6" s="12">
        <f t="shared" si="0"/>
        <v>2.0384702874352838</v>
      </c>
      <c r="E6" s="13">
        <f t="shared" si="1"/>
        <v>0.15534291598194414</v>
      </c>
    </row>
    <row r="7" spans="1:5" x14ac:dyDescent="0.45">
      <c r="A7" s="4" t="s">
        <v>14</v>
      </c>
      <c r="B7" s="5">
        <v>464428</v>
      </c>
      <c r="C7" s="5">
        <v>225210</v>
      </c>
      <c r="D7" s="12">
        <f t="shared" si="0"/>
        <v>2.0621997247013897</v>
      </c>
      <c r="E7" s="13">
        <f t="shared" si="1"/>
        <v>0.32202969095611533</v>
      </c>
    </row>
    <row r="8" spans="1:5" x14ac:dyDescent="0.45">
      <c r="A8" s="4" t="s">
        <v>15</v>
      </c>
      <c r="B8" s="5">
        <v>371855</v>
      </c>
      <c r="C8" s="5">
        <v>175201</v>
      </c>
      <c r="D8" s="12">
        <f t="shared" si="0"/>
        <v>2.1224479312332694</v>
      </c>
      <c r="E8" s="13">
        <f t="shared" si="1"/>
        <v>0.25784050645199313</v>
      </c>
    </row>
    <row r="9" spans="1:5" x14ac:dyDescent="0.45">
      <c r="A9" s="4" t="s">
        <v>16</v>
      </c>
      <c r="B9" s="5">
        <v>163823</v>
      </c>
      <c r="C9" s="5">
        <v>81157</v>
      </c>
      <c r="D9" s="12">
        <f t="shared" si="0"/>
        <v>2.0185935902017076</v>
      </c>
      <c r="E9" s="13">
        <f t="shared" si="1"/>
        <v>0.11359321587308191</v>
      </c>
    </row>
    <row r="10" spans="1:5" x14ac:dyDescent="0.45">
      <c r="A10" s="8" t="s">
        <v>17</v>
      </c>
      <c r="B10" s="9">
        <f>SUM(B5:B9)</f>
        <v>1442190</v>
      </c>
      <c r="C10" s="9">
        <f>SUM(C5:C9)</f>
        <v>705303</v>
      </c>
      <c r="D10" s="14">
        <f t="shared" si="0"/>
        <v>2.0447807538036842</v>
      </c>
      <c r="E10" s="15">
        <f t="shared" si="1"/>
        <v>1</v>
      </c>
    </row>
    <row r="12" spans="1:5" x14ac:dyDescent="0.45">
      <c r="A12" s="11" t="s">
        <v>24</v>
      </c>
    </row>
    <row r="13" spans="1:5" x14ac:dyDescent="0.45">
      <c r="A13" s="11" t="s">
        <v>25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showGridLines="0" workbookViewId="0">
      <pane ySplit="4" topLeftCell="A5" activePane="bottomLeft" state="frozen"/>
      <selection pane="bottomLeft" activeCell="E12" sqref="E12"/>
    </sheetView>
  </sheetViews>
  <sheetFormatPr defaultRowHeight="17" x14ac:dyDescent="0.45"/>
  <cols>
    <col min="1" max="1" width="16" customWidth="1"/>
    <col min="2" max="2" width="12" customWidth="1"/>
    <col min="3" max="9" width="11" customWidth="1"/>
  </cols>
  <sheetData>
    <row r="1" spans="1:9" ht="17.5" x14ac:dyDescent="0.45">
      <c r="A1" s="1" t="s">
        <v>26</v>
      </c>
    </row>
    <row r="2" spans="1:9" x14ac:dyDescent="0.45">
      <c r="A2" s="2" t="s">
        <v>27</v>
      </c>
    </row>
    <row r="4" spans="1:9" x14ac:dyDescent="0.45">
      <c r="A4" s="3" t="s">
        <v>6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x14ac:dyDescent="0.45">
      <c r="A5" s="4" t="s">
        <v>17</v>
      </c>
      <c r="B5" s="16" t="s">
        <v>36</v>
      </c>
      <c r="C5" s="17">
        <v>0.64800000000000002</v>
      </c>
      <c r="D5" s="17">
        <v>0.53299999999999992</v>
      </c>
      <c r="E5" s="17">
        <v>0.46500000000000002</v>
      </c>
      <c r="F5" s="17">
        <v>0.40300000000000002</v>
      </c>
      <c r="G5" s="17">
        <v>0.34699999999999998</v>
      </c>
      <c r="H5" s="17">
        <v>0.29199999999999998</v>
      </c>
      <c r="I5" s="17">
        <v>0.26</v>
      </c>
    </row>
    <row r="6" spans="1:9" x14ac:dyDescent="0.45">
      <c r="A6" s="4" t="s">
        <v>17</v>
      </c>
      <c r="B6" s="16" t="s">
        <v>37</v>
      </c>
      <c r="C6" s="17">
        <v>0.64599999999999991</v>
      </c>
      <c r="D6" s="17">
        <v>0.53400000000000003</v>
      </c>
      <c r="E6" s="17">
        <v>0.44900000000000001</v>
      </c>
      <c r="F6" s="17">
        <v>0.40799999999999997</v>
      </c>
      <c r="G6" s="17">
        <v>0.35599999999999998</v>
      </c>
      <c r="H6" s="17">
        <v>0.312</v>
      </c>
      <c r="I6" s="17">
        <v>0.26600000000000001</v>
      </c>
    </row>
    <row r="7" spans="1:9" x14ac:dyDescent="0.45">
      <c r="A7" s="4" t="s">
        <v>38</v>
      </c>
      <c r="B7" s="16" t="s">
        <v>36</v>
      </c>
      <c r="C7" s="17">
        <v>0.64900000000000002</v>
      </c>
      <c r="D7" s="17">
        <v>0.53600000000000003</v>
      </c>
      <c r="E7" s="17">
        <v>0.46899999999999997</v>
      </c>
      <c r="F7" s="17">
        <v>0.41</v>
      </c>
      <c r="G7" s="17">
        <v>0.34799999999999998</v>
      </c>
      <c r="H7" s="17">
        <v>0.31</v>
      </c>
      <c r="I7" s="17">
        <v>0.27800000000000002</v>
      </c>
    </row>
    <row r="8" spans="1:9" x14ac:dyDescent="0.45">
      <c r="A8" s="4" t="s">
        <v>38</v>
      </c>
      <c r="B8" s="16" t="s">
        <v>37</v>
      </c>
      <c r="C8" s="17">
        <v>0.64400000000000002</v>
      </c>
      <c r="D8" s="17">
        <v>0.54</v>
      </c>
      <c r="E8" s="17">
        <v>0.45900000000000002</v>
      </c>
      <c r="F8" s="17">
        <v>0.41</v>
      </c>
      <c r="G8" s="17">
        <v>0.36399999999999999</v>
      </c>
      <c r="H8" s="17">
        <v>0.313</v>
      </c>
      <c r="I8" s="17">
        <v>0.28199999999999997</v>
      </c>
    </row>
    <row r="9" spans="1:9" x14ac:dyDescent="0.45">
      <c r="A9" s="4" t="s">
        <v>39</v>
      </c>
      <c r="B9" s="16" t="s">
        <v>37</v>
      </c>
      <c r="C9" s="17">
        <v>0.63900000000000001</v>
      </c>
      <c r="D9" s="17">
        <v>0.52500000000000002</v>
      </c>
      <c r="E9" s="17">
        <v>0.45200000000000001</v>
      </c>
      <c r="F9" s="17">
        <v>0.40300000000000002</v>
      </c>
      <c r="G9" s="17">
        <v>0.36699999999999999</v>
      </c>
      <c r="H9" s="17">
        <v>0.313</v>
      </c>
      <c r="I9" s="17">
        <v>0.28100000000000003</v>
      </c>
    </row>
    <row r="12" spans="1:9" x14ac:dyDescent="0.45">
      <c r="A12" s="11"/>
    </row>
    <row r="13" spans="1:9" x14ac:dyDescent="0.45">
      <c r="A13" s="11"/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showGridLines="0" workbookViewId="0">
      <pane ySplit="4" topLeftCell="A5" activePane="bottomLeft" state="frozen"/>
      <selection pane="bottomLeft" activeCell="H29" sqref="H29"/>
    </sheetView>
  </sheetViews>
  <sheetFormatPr defaultRowHeight="17" x14ac:dyDescent="0.45"/>
  <cols>
    <col min="1" max="1" width="12" customWidth="1"/>
    <col min="2" max="2" width="20" customWidth="1"/>
    <col min="3" max="4" width="12" customWidth="1"/>
    <col min="5" max="6" width="14" customWidth="1"/>
  </cols>
  <sheetData>
    <row r="1" spans="1:6" ht="17.5" x14ac:dyDescent="0.45">
      <c r="A1" s="1" t="s">
        <v>40</v>
      </c>
    </row>
    <row r="2" spans="1:6" x14ac:dyDescent="0.45">
      <c r="A2" s="2" t="s">
        <v>41</v>
      </c>
    </row>
    <row r="4" spans="1:6" x14ac:dyDescent="0.45">
      <c r="A4" s="3" t="s">
        <v>6</v>
      </c>
      <c r="B4" s="3" t="s">
        <v>42</v>
      </c>
      <c r="C4" s="3" t="s">
        <v>43</v>
      </c>
      <c r="D4" s="3" t="s">
        <v>2</v>
      </c>
      <c r="E4" s="3" t="s">
        <v>44</v>
      </c>
      <c r="F4" s="3" t="s">
        <v>45</v>
      </c>
    </row>
    <row r="5" spans="1:6" x14ac:dyDescent="0.45">
      <c r="A5" s="4" t="s">
        <v>12</v>
      </c>
      <c r="B5" s="18" t="s">
        <v>46</v>
      </c>
      <c r="C5" s="5">
        <v>3021</v>
      </c>
      <c r="D5" s="5">
        <v>3239</v>
      </c>
      <c r="E5" s="19">
        <f t="shared" ref="E5:E20" si="0">D5-C5</f>
        <v>218</v>
      </c>
      <c r="F5" s="17">
        <v>0.12</v>
      </c>
    </row>
    <row r="6" spans="1:6" x14ac:dyDescent="0.45">
      <c r="A6" s="18" t="s">
        <v>12</v>
      </c>
      <c r="B6" s="18" t="s">
        <v>8</v>
      </c>
      <c r="C6" s="5">
        <v>865</v>
      </c>
      <c r="D6" s="5">
        <v>831</v>
      </c>
      <c r="E6" s="19">
        <f t="shared" si="0"/>
        <v>-34</v>
      </c>
      <c r="F6" s="17">
        <v>0.11899999999999999</v>
      </c>
    </row>
    <row r="7" spans="1:6" x14ac:dyDescent="0.45">
      <c r="A7" s="18" t="s">
        <v>12</v>
      </c>
      <c r="B7" s="18" t="s">
        <v>9</v>
      </c>
      <c r="C7" s="5">
        <v>565</v>
      </c>
      <c r="D7" s="5">
        <v>551</v>
      </c>
      <c r="E7" s="19">
        <f t="shared" si="0"/>
        <v>-14</v>
      </c>
      <c r="F7" s="17">
        <v>0.154</v>
      </c>
    </row>
    <row r="8" spans="1:6" x14ac:dyDescent="0.45">
      <c r="A8" s="4" t="s">
        <v>13</v>
      </c>
      <c r="B8" s="18" t="s">
        <v>46</v>
      </c>
      <c r="C8" s="5">
        <v>3531</v>
      </c>
      <c r="D8" s="5">
        <v>3751</v>
      </c>
      <c r="E8" s="19">
        <f t="shared" si="0"/>
        <v>220</v>
      </c>
      <c r="F8" s="17">
        <v>0.11799999999999999</v>
      </c>
    </row>
    <row r="9" spans="1:6" x14ac:dyDescent="0.45">
      <c r="A9" s="18" t="s">
        <v>13</v>
      </c>
      <c r="B9" s="18" t="s">
        <v>8</v>
      </c>
      <c r="C9" s="5">
        <v>956</v>
      </c>
      <c r="D9" s="5">
        <v>1008</v>
      </c>
      <c r="E9" s="19">
        <f t="shared" si="0"/>
        <v>52</v>
      </c>
      <c r="F9" s="17">
        <v>0.13900000000000001</v>
      </c>
    </row>
    <row r="10" spans="1:6" x14ac:dyDescent="0.45">
      <c r="A10" s="18" t="s">
        <v>13</v>
      </c>
      <c r="B10" s="18" t="s">
        <v>9</v>
      </c>
      <c r="C10" s="5">
        <v>667</v>
      </c>
      <c r="D10" s="5">
        <v>610</v>
      </c>
      <c r="E10" s="19">
        <f t="shared" si="0"/>
        <v>-57</v>
      </c>
      <c r="F10" s="17">
        <v>0.14899999999999999</v>
      </c>
    </row>
    <row r="11" spans="1:6" x14ac:dyDescent="0.45">
      <c r="A11" s="4" t="s">
        <v>14</v>
      </c>
      <c r="B11" s="18" t="s">
        <v>46</v>
      </c>
      <c r="C11" s="5">
        <v>8337</v>
      </c>
      <c r="D11" s="5">
        <v>8380</v>
      </c>
      <c r="E11" s="19">
        <f t="shared" si="0"/>
        <v>43</v>
      </c>
      <c r="F11" s="17">
        <v>0.13900000000000001</v>
      </c>
    </row>
    <row r="12" spans="1:6" x14ac:dyDescent="0.45">
      <c r="A12" s="18" t="s">
        <v>14</v>
      </c>
      <c r="B12" s="18" t="s">
        <v>8</v>
      </c>
      <c r="C12" s="5">
        <v>2314</v>
      </c>
      <c r="D12" s="5">
        <v>2536</v>
      </c>
      <c r="E12" s="19">
        <f t="shared" si="0"/>
        <v>222</v>
      </c>
      <c r="F12" s="17">
        <v>0.182</v>
      </c>
    </row>
    <row r="13" spans="1:6" x14ac:dyDescent="0.45">
      <c r="A13" s="18" t="s">
        <v>14</v>
      </c>
      <c r="B13" s="18" t="s">
        <v>9</v>
      </c>
      <c r="C13" s="5">
        <v>1526</v>
      </c>
      <c r="D13" s="5">
        <v>1338</v>
      </c>
      <c r="E13" s="19">
        <f t="shared" si="0"/>
        <v>-188</v>
      </c>
      <c r="F13" s="17">
        <v>0.17199999999999999</v>
      </c>
    </row>
    <row r="14" spans="1:6" x14ac:dyDescent="0.45">
      <c r="A14" s="4" t="s">
        <v>15</v>
      </c>
      <c r="B14" s="18" t="s">
        <v>46</v>
      </c>
      <c r="C14" s="5">
        <v>6830</v>
      </c>
      <c r="D14" s="5">
        <v>6635</v>
      </c>
      <c r="E14" s="19">
        <f t="shared" si="0"/>
        <v>-195</v>
      </c>
      <c r="F14" s="17">
        <v>0.13300000000000001</v>
      </c>
    </row>
    <row r="15" spans="1:6" x14ac:dyDescent="0.45">
      <c r="A15" s="18" t="s">
        <v>15</v>
      </c>
      <c r="B15" s="18" t="s">
        <v>8</v>
      </c>
      <c r="C15" s="5">
        <v>1619</v>
      </c>
      <c r="D15" s="5">
        <v>1619</v>
      </c>
      <c r="E15" s="19">
        <f t="shared" si="0"/>
        <v>0</v>
      </c>
      <c r="F15" s="17">
        <v>0.14499999999999999</v>
      </c>
    </row>
    <row r="16" spans="1:6" x14ac:dyDescent="0.45">
      <c r="A16" s="18" t="s">
        <v>15</v>
      </c>
      <c r="B16" s="18" t="s">
        <v>9</v>
      </c>
      <c r="C16" s="5">
        <v>1203</v>
      </c>
      <c r="D16" s="5">
        <v>1053</v>
      </c>
      <c r="E16" s="19">
        <f t="shared" si="0"/>
        <v>-150</v>
      </c>
      <c r="F16" s="17">
        <v>0.159</v>
      </c>
    </row>
    <row r="17" spans="1:6" x14ac:dyDescent="0.45">
      <c r="A17" s="4" t="s">
        <v>16</v>
      </c>
      <c r="B17" s="18" t="s">
        <v>46</v>
      </c>
      <c r="C17" s="5">
        <v>2955</v>
      </c>
      <c r="D17" s="5">
        <v>2805</v>
      </c>
      <c r="E17" s="19">
        <f t="shared" si="0"/>
        <v>-150</v>
      </c>
      <c r="F17" s="17">
        <v>9.6000000000000002E-2</v>
      </c>
    </row>
    <row r="18" spans="1:6" x14ac:dyDescent="0.45">
      <c r="A18" s="18" t="s">
        <v>16</v>
      </c>
      <c r="B18" s="18" t="s">
        <v>8</v>
      </c>
      <c r="C18" s="5">
        <v>756</v>
      </c>
      <c r="D18" s="5">
        <v>692</v>
      </c>
      <c r="E18" s="19">
        <f t="shared" si="0"/>
        <v>-64</v>
      </c>
      <c r="F18" s="17">
        <v>9.4E-2</v>
      </c>
    </row>
    <row r="19" spans="1:6" x14ac:dyDescent="0.45">
      <c r="A19" s="18" t="s">
        <v>16</v>
      </c>
      <c r="B19" s="18" t="s">
        <v>9</v>
      </c>
      <c r="C19" s="5">
        <v>498</v>
      </c>
      <c r="D19" s="5">
        <v>401</v>
      </c>
      <c r="E19" s="19">
        <f t="shared" si="0"/>
        <v>-97</v>
      </c>
      <c r="F19" s="17">
        <v>0.13700000000000001</v>
      </c>
    </row>
    <row r="20" spans="1:6" x14ac:dyDescent="0.45">
      <c r="A20" s="8" t="s">
        <v>17</v>
      </c>
      <c r="B20" s="8" t="s">
        <v>46</v>
      </c>
      <c r="C20" s="20">
        <v>24674</v>
      </c>
      <c r="D20" s="20">
        <v>24810</v>
      </c>
      <c r="E20" s="21">
        <f t="shared" si="0"/>
        <v>136</v>
      </c>
      <c r="F20" s="22">
        <v>0.125</v>
      </c>
    </row>
    <row r="22" spans="1:6" x14ac:dyDescent="0.45">
      <c r="A22" s="11" t="s">
        <v>95</v>
      </c>
    </row>
    <row r="23" spans="1:6" x14ac:dyDescent="0.45">
      <c r="A23" s="11"/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showGridLines="0" workbookViewId="0">
      <pane ySplit="4" topLeftCell="A5" activePane="bottomLeft" state="frozen"/>
      <selection pane="bottomLeft" activeCell="O13" sqref="O13"/>
    </sheetView>
  </sheetViews>
  <sheetFormatPr defaultRowHeight="17" x14ac:dyDescent="0.45"/>
  <cols>
    <col min="1" max="1" width="12" customWidth="1"/>
    <col min="2" max="2" width="20" customWidth="1"/>
    <col min="3" max="3" width="12" customWidth="1"/>
    <col min="4" max="4" width="14" customWidth="1"/>
    <col min="5" max="5" width="16" customWidth="1"/>
  </cols>
  <sheetData>
    <row r="1" spans="1:5" ht="17.5" x14ac:dyDescent="0.45">
      <c r="A1" s="1" t="s">
        <v>47</v>
      </c>
    </row>
    <row r="2" spans="1:5" x14ac:dyDescent="0.45">
      <c r="A2" s="25" t="s">
        <v>69</v>
      </c>
    </row>
    <row r="4" spans="1:5" ht="26" x14ac:dyDescent="0.45">
      <c r="A4" s="3" t="s">
        <v>6</v>
      </c>
      <c r="B4" s="3" t="s">
        <v>42</v>
      </c>
      <c r="C4" s="3" t="s">
        <v>43</v>
      </c>
      <c r="D4" s="3" t="s">
        <v>48</v>
      </c>
      <c r="E4" s="3" t="s">
        <v>49</v>
      </c>
    </row>
    <row r="5" spans="1:5" x14ac:dyDescent="0.45">
      <c r="A5" s="4" t="s">
        <v>12</v>
      </c>
      <c r="B5" s="18" t="s">
        <v>46</v>
      </c>
      <c r="C5" s="5">
        <v>2829</v>
      </c>
      <c r="D5" s="17">
        <v>0.106</v>
      </c>
      <c r="E5" s="19">
        <f>'05_개업가게수'!C5-C5</f>
        <v>192</v>
      </c>
    </row>
    <row r="6" spans="1:5" x14ac:dyDescent="0.45">
      <c r="A6" s="18" t="s">
        <v>12</v>
      </c>
      <c r="B6" s="18" t="s">
        <v>8</v>
      </c>
      <c r="C6" s="5">
        <v>884</v>
      </c>
      <c r="D6" s="17">
        <v>0.124</v>
      </c>
      <c r="E6" s="19">
        <f>'05_개업가게수'!C6-C6</f>
        <v>-19</v>
      </c>
    </row>
    <row r="7" spans="1:5" x14ac:dyDescent="0.45">
      <c r="A7" s="18" t="s">
        <v>12</v>
      </c>
      <c r="B7" s="18" t="s">
        <v>9</v>
      </c>
      <c r="C7" s="5">
        <v>510</v>
      </c>
      <c r="D7" s="17">
        <v>0.14299999999999999</v>
      </c>
      <c r="E7" s="19">
        <f>'05_개업가게수'!C7-C7</f>
        <v>55</v>
      </c>
    </row>
    <row r="8" spans="1:5" x14ac:dyDescent="0.45">
      <c r="A8" s="4" t="s">
        <v>13</v>
      </c>
      <c r="B8" s="18" t="s">
        <v>46</v>
      </c>
      <c r="C8" s="5">
        <v>3322</v>
      </c>
      <c r="D8" s="17">
        <v>0.106</v>
      </c>
      <c r="E8" s="19">
        <f>'05_개업가게수'!C8-C8</f>
        <v>209</v>
      </c>
    </row>
    <row r="9" spans="1:5" x14ac:dyDescent="0.45">
      <c r="A9" s="18" t="s">
        <v>13</v>
      </c>
      <c r="B9" s="18" t="s">
        <v>8</v>
      </c>
      <c r="C9" s="5">
        <v>980</v>
      </c>
      <c r="D9" s="17">
        <v>0.13500000000000001</v>
      </c>
      <c r="E9" s="19">
        <f>'05_개업가게수'!C9-C9</f>
        <v>-24</v>
      </c>
    </row>
    <row r="10" spans="1:5" x14ac:dyDescent="0.45">
      <c r="A10" s="18" t="s">
        <v>13</v>
      </c>
      <c r="B10" s="18" t="s">
        <v>9</v>
      </c>
      <c r="C10" s="5">
        <v>607</v>
      </c>
      <c r="D10" s="17">
        <v>0.14699999999999999</v>
      </c>
      <c r="E10" s="19">
        <f>'05_개업가게수'!C10-C10</f>
        <v>60</v>
      </c>
    </row>
    <row r="11" spans="1:5" x14ac:dyDescent="0.45">
      <c r="A11" s="4" t="s">
        <v>14</v>
      </c>
      <c r="B11" s="18" t="s">
        <v>46</v>
      </c>
      <c r="C11" s="5">
        <v>7130</v>
      </c>
      <c r="D11" s="17">
        <v>0.12</v>
      </c>
      <c r="E11" s="19">
        <f>'05_개업가게수'!C11-C11</f>
        <v>1207</v>
      </c>
    </row>
    <row r="12" spans="1:5" x14ac:dyDescent="0.45">
      <c r="A12" s="18" t="s">
        <v>14</v>
      </c>
      <c r="B12" s="18" t="s">
        <v>8</v>
      </c>
      <c r="C12" s="5">
        <v>1963</v>
      </c>
      <c r="D12" s="17">
        <v>0.14499999999999999</v>
      </c>
      <c r="E12" s="19">
        <f>'05_개업가게수'!C12-C12</f>
        <v>351</v>
      </c>
    </row>
    <row r="13" spans="1:5" x14ac:dyDescent="0.45">
      <c r="A13" s="18" t="s">
        <v>14</v>
      </c>
      <c r="B13" s="18" t="s">
        <v>9</v>
      </c>
      <c r="C13" s="5">
        <v>1392</v>
      </c>
      <c r="D13" s="17">
        <v>0.17499999999999999</v>
      </c>
      <c r="E13" s="19">
        <f>'05_개업가게수'!C13-C13</f>
        <v>134</v>
      </c>
    </row>
    <row r="14" spans="1:5" x14ac:dyDescent="0.45">
      <c r="A14" s="4" t="s">
        <v>15</v>
      </c>
      <c r="B14" s="18" t="s">
        <v>46</v>
      </c>
      <c r="C14" s="5">
        <v>5095</v>
      </c>
      <c r="D14" s="17">
        <v>0.104</v>
      </c>
      <c r="E14" s="19">
        <f>'05_개업가게수'!C14-C14</f>
        <v>1735</v>
      </c>
    </row>
    <row r="15" spans="1:5" x14ac:dyDescent="0.45">
      <c r="A15" s="18" t="s">
        <v>15</v>
      </c>
      <c r="B15" s="18" t="s">
        <v>8</v>
      </c>
      <c r="C15" s="5">
        <v>1325</v>
      </c>
      <c r="D15" s="17">
        <v>0.122</v>
      </c>
      <c r="E15" s="19">
        <f>'05_개업가게수'!C15-C15</f>
        <v>294</v>
      </c>
    </row>
    <row r="16" spans="1:5" x14ac:dyDescent="0.45">
      <c r="A16" s="18" t="s">
        <v>15</v>
      </c>
      <c r="B16" s="18" t="s">
        <v>9</v>
      </c>
      <c r="C16" s="5">
        <v>922</v>
      </c>
      <c r="D16" s="17">
        <v>0.14000000000000001</v>
      </c>
      <c r="E16" s="19">
        <f>'05_개업가게수'!C16-C16</f>
        <v>281</v>
      </c>
    </row>
    <row r="17" spans="1:5" x14ac:dyDescent="0.45">
      <c r="A17" s="4" t="s">
        <v>16</v>
      </c>
      <c r="B17" s="18" t="s">
        <v>46</v>
      </c>
      <c r="C17" s="5">
        <v>2540</v>
      </c>
      <c r="D17" s="17">
        <v>8.6999999999999994E-2</v>
      </c>
      <c r="E17" s="19">
        <f>'05_개업가게수'!C17-C17</f>
        <v>415</v>
      </c>
    </row>
    <row r="18" spans="1:5" x14ac:dyDescent="0.45">
      <c r="A18" s="18" t="s">
        <v>16</v>
      </c>
      <c r="B18" s="18" t="s">
        <v>8</v>
      </c>
      <c r="C18" s="5">
        <v>659</v>
      </c>
      <c r="D18" s="17">
        <v>0.09</v>
      </c>
      <c r="E18" s="19">
        <f>'05_개업가게수'!C18-C18</f>
        <v>97</v>
      </c>
    </row>
    <row r="19" spans="1:5" x14ac:dyDescent="0.45">
      <c r="A19" s="18" t="s">
        <v>16</v>
      </c>
      <c r="B19" s="18" t="s">
        <v>9</v>
      </c>
      <c r="C19" s="5">
        <v>427</v>
      </c>
      <c r="D19" s="17">
        <v>0.14299999999999999</v>
      </c>
      <c r="E19" s="19">
        <f>'05_개업가게수'!C19-C19</f>
        <v>71</v>
      </c>
    </row>
    <row r="20" spans="1:5" x14ac:dyDescent="0.45">
      <c r="A20" s="8" t="s">
        <v>17</v>
      </c>
      <c r="B20" s="8" t="s">
        <v>46</v>
      </c>
      <c r="C20" s="20">
        <v>20916</v>
      </c>
      <c r="D20" s="22">
        <v>0.107</v>
      </c>
      <c r="E20" s="21">
        <f>'05_개업가게수'!C20-C20</f>
        <v>3758</v>
      </c>
    </row>
    <row r="22" spans="1:5" x14ac:dyDescent="0.45">
      <c r="A22" s="11"/>
    </row>
    <row r="23" spans="1:5" x14ac:dyDescent="0.45">
      <c r="A23" s="11"/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EC33-2365-433B-8D79-19BB50F489B0}">
  <dimension ref="A1:G19"/>
  <sheetViews>
    <sheetView tabSelected="1" workbookViewId="0">
      <selection activeCell="B26" sqref="B26"/>
    </sheetView>
  </sheetViews>
  <sheetFormatPr defaultRowHeight="17" x14ac:dyDescent="0.45"/>
  <cols>
    <col min="1" max="1" width="54.25" customWidth="1"/>
  </cols>
  <sheetData>
    <row r="1" spans="1:7" x14ac:dyDescent="0.45">
      <c r="A1" s="26" t="s">
        <v>70</v>
      </c>
      <c r="B1" s="27" t="s">
        <v>71</v>
      </c>
      <c r="C1" s="27" t="s">
        <v>72</v>
      </c>
      <c r="D1" s="27" t="s">
        <v>73</v>
      </c>
      <c r="E1" s="27" t="s">
        <v>74</v>
      </c>
      <c r="F1" s="27" t="s">
        <v>75</v>
      </c>
      <c r="G1" s="28" t="s">
        <v>76</v>
      </c>
    </row>
    <row r="2" spans="1:7" x14ac:dyDescent="0.45">
      <c r="A2" s="29" t="s">
        <v>77</v>
      </c>
      <c r="B2" s="30">
        <v>11.5</v>
      </c>
      <c r="C2" s="30">
        <v>13.1</v>
      </c>
      <c r="D2" s="30">
        <v>13.2</v>
      </c>
      <c r="E2" s="30">
        <v>14.2</v>
      </c>
      <c r="F2" s="30">
        <v>11.4</v>
      </c>
      <c r="G2" s="31">
        <v>63.4</v>
      </c>
    </row>
    <row r="3" spans="1:7" x14ac:dyDescent="0.45">
      <c r="A3" s="32" t="s">
        <v>78</v>
      </c>
      <c r="B3" s="33">
        <v>12.9</v>
      </c>
      <c r="C3" s="33">
        <v>11.5</v>
      </c>
      <c r="D3" s="33">
        <v>10.9</v>
      </c>
      <c r="E3" s="33">
        <v>11.8</v>
      </c>
      <c r="F3" s="33">
        <v>11.4</v>
      </c>
      <c r="G3" s="34">
        <v>58.5</v>
      </c>
    </row>
    <row r="4" spans="1:7" x14ac:dyDescent="0.45">
      <c r="A4" s="29" t="s">
        <v>79</v>
      </c>
      <c r="B4" s="30">
        <v>12.5</v>
      </c>
      <c r="C4" s="30">
        <v>12.7</v>
      </c>
      <c r="D4" s="30">
        <v>13.2</v>
      </c>
      <c r="E4" s="30">
        <v>9.3000000000000007</v>
      </c>
      <c r="F4" s="30">
        <v>7.3</v>
      </c>
      <c r="G4" s="31">
        <v>55</v>
      </c>
    </row>
    <row r="5" spans="1:7" x14ac:dyDescent="0.45">
      <c r="A5" s="32" t="s">
        <v>80</v>
      </c>
      <c r="B5" s="33">
        <v>4.2</v>
      </c>
      <c r="C5" s="33">
        <v>7</v>
      </c>
      <c r="D5" s="33">
        <v>8.1</v>
      </c>
      <c r="E5" s="33">
        <v>9.9</v>
      </c>
      <c r="F5" s="33">
        <v>12.6</v>
      </c>
      <c r="G5" s="34">
        <v>41.8</v>
      </c>
    </row>
    <row r="6" spans="1:7" x14ac:dyDescent="0.45">
      <c r="A6" s="29" t="s">
        <v>81</v>
      </c>
      <c r="B6" s="30">
        <v>6.3</v>
      </c>
      <c r="C6" s="30">
        <v>5</v>
      </c>
      <c r="D6" s="30">
        <v>6</v>
      </c>
      <c r="E6" s="30">
        <v>8.6</v>
      </c>
      <c r="F6" s="30">
        <v>9.5</v>
      </c>
      <c r="G6" s="31">
        <v>35.4</v>
      </c>
    </row>
    <row r="7" spans="1:7" x14ac:dyDescent="0.45">
      <c r="A7" s="32" t="s">
        <v>82</v>
      </c>
      <c r="B7" s="33">
        <v>3.7</v>
      </c>
      <c r="C7" s="33">
        <v>3.8</v>
      </c>
      <c r="D7" s="33">
        <v>4.4000000000000004</v>
      </c>
      <c r="E7" s="33">
        <v>5.2</v>
      </c>
      <c r="F7" s="33">
        <v>8.4</v>
      </c>
      <c r="G7" s="34">
        <v>25.5</v>
      </c>
    </row>
    <row r="8" spans="1:7" x14ac:dyDescent="0.45">
      <c r="A8" s="29" t="s">
        <v>83</v>
      </c>
      <c r="B8" s="30">
        <v>6.5</v>
      </c>
      <c r="C8" s="30">
        <v>5</v>
      </c>
      <c r="D8" s="30">
        <v>4.0999999999999996</v>
      </c>
      <c r="E8" s="30">
        <v>4.0999999999999996</v>
      </c>
      <c r="F8" s="30">
        <v>4</v>
      </c>
      <c r="G8" s="31">
        <v>23.7</v>
      </c>
    </row>
    <row r="9" spans="1:7" x14ac:dyDescent="0.45">
      <c r="A9" s="32" t="s">
        <v>84</v>
      </c>
      <c r="B9" s="33">
        <v>6</v>
      </c>
      <c r="C9" s="33">
        <v>5.6</v>
      </c>
      <c r="D9" s="33">
        <v>4.4000000000000004</v>
      </c>
      <c r="E9" s="33">
        <v>3.5</v>
      </c>
      <c r="F9" s="33">
        <v>2.9</v>
      </c>
      <c r="G9" s="34">
        <v>22.4</v>
      </c>
    </row>
    <row r="10" spans="1:7" x14ac:dyDescent="0.45">
      <c r="A10" s="29" t="s">
        <v>85</v>
      </c>
      <c r="B10" s="30">
        <v>4.9000000000000004</v>
      </c>
      <c r="C10" s="30">
        <v>4.5</v>
      </c>
      <c r="D10" s="30">
        <v>3.8</v>
      </c>
      <c r="E10" s="30">
        <v>3.3</v>
      </c>
      <c r="F10" s="30">
        <v>2.4</v>
      </c>
      <c r="G10" s="31">
        <v>18.899999999999999</v>
      </c>
    </row>
    <row r="11" spans="1:7" x14ac:dyDescent="0.45">
      <c r="A11" s="32" t="s">
        <v>86</v>
      </c>
      <c r="B11" s="33">
        <v>8.1</v>
      </c>
      <c r="C11" s="33">
        <v>9.3000000000000007</v>
      </c>
      <c r="D11" s="33">
        <v>0.1</v>
      </c>
      <c r="E11" s="33">
        <v>0.1</v>
      </c>
      <c r="F11" s="33">
        <v>0.1</v>
      </c>
      <c r="G11" s="34">
        <v>17.7</v>
      </c>
    </row>
    <row r="12" spans="1:7" x14ac:dyDescent="0.45">
      <c r="A12" s="29" t="s">
        <v>87</v>
      </c>
      <c r="B12" s="30">
        <v>3.4</v>
      </c>
      <c r="C12" s="30">
        <v>2.5</v>
      </c>
      <c r="D12" s="30">
        <v>3.2</v>
      </c>
      <c r="E12" s="30">
        <v>2</v>
      </c>
      <c r="F12" s="30">
        <v>2.9</v>
      </c>
      <c r="G12" s="31">
        <v>14</v>
      </c>
    </row>
    <row r="13" spans="1:7" x14ac:dyDescent="0.45">
      <c r="A13" s="32" t="s">
        <v>88</v>
      </c>
      <c r="B13" s="33">
        <v>4.8</v>
      </c>
      <c r="C13" s="33">
        <v>2.7</v>
      </c>
      <c r="D13" s="33">
        <v>1.8</v>
      </c>
      <c r="E13" s="33">
        <v>2.8</v>
      </c>
      <c r="F13" s="33">
        <v>1.6</v>
      </c>
      <c r="G13" s="34">
        <v>13.7</v>
      </c>
    </row>
    <row r="14" spans="1:7" x14ac:dyDescent="0.45">
      <c r="A14" s="29" t="s">
        <v>89</v>
      </c>
      <c r="B14" s="30">
        <v>6.7</v>
      </c>
      <c r="C14" s="30">
        <v>5.6</v>
      </c>
      <c r="D14" s="30">
        <v>0.1</v>
      </c>
      <c r="E14" s="30">
        <v>0.1</v>
      </c>
      <c r="F14" s="30">
        <v>0.1</v>
      </c>
      <c r="G14" s="31">
        <v>12.5</v>
      </c>
    </row>
    <row r="15" spans="1:7" x14ac:dyDescent="0.45">
      <c r="A15" s="32" t="s">
        <v>90</v>
      </c>
      <c r="B15" s="33">
        <v>2.6</v>
      </c>
      <c r="C15" s="33">
        <v>2.9</v>
      </c>
      <c r="D15" s="33">
        <v>2.1</v>
      </c>
      <c r="E15" s="33">
        <v>2</v>
      </c>
      <c r="F15" s="33">
        <v>2.6</v>
      </c>
      <c r="G15" s="34">
        <v>12.2</v>
      </c>
    </row>
    <row r="16" spans="1:7" x14ac:dyDescent="0.45">
      <c r="A16" s="29" t="s">
        <v>91</v>
      </c>
      <c r="B16" s="30">
        <v>1.9</v>
      </c>
      <c r="C16" s="30">
        <v>2.9</v>
      </c>
      <c r="D16" s="30">
        <v>1.4</v>
      </c>
      <c r="E16" s="30">
        <v>0.9</v>
      </c>
      <c r="F16" s="30">
        <v>1.5</v>
      </c>
      <c r="G16" s="31">
        <v>8.6</v>
      </c>
    </row>
    <row r="17" spans="1:7" x14ac:dyDescent="0.45">
      <c r="A17" s="32" t="s">
        <v>92</v>
      </c>
      <c r="B17" s="33">
        <v>1.4</v>
      </c>
      <c r="C17" s="33">
        <v>1.8</v>
      </c>
      <c r="D17" s="33">
        <v>1.7</v>
      </c>
      <c r="E17" s="33">
        <v>1.4</v>
      </c>
      <c r="F17" s="33">
        <v>0.5</v>
      </c>
      <c r="G17" s="34">
        <v>6.8</v>
      </c>
    </row>
    <row r="18" spans="1:7" x14ac:dyDescent="0.45">
      <c r="A18" s="29" t="s">
        <v>93</v>
      </c>
      <c r="B18" s="30">
        <v>1.1000000000000001</v>
      </c>
      <c r="C18" s="30">
        <v>1.6</v>
      </c>
      <c r="D18" s="30">
        <v>1.7</v>
      </c>
      <c r="E18" s="30">
        <v>1.1000000000000001</v>
      </c>
      <c r="F18" s="30">
        <v>0.7</v>
      </c>
      <c r="G18" s="31">
        <v>6.2</v>
      </c>
    </row>
    <row r="19" spans="1:7" x14ac:dyDescent="0.45">
      <c r="A19" s="32" t="s">
        <v>94</v>
      </c>
      <c r="B19" s="33">
        <v>1.4</v>
      </c>
      <c r="C19" s="33">
        <v>2.7</v>
      </c>
      <c r="D19" s="33">
        <v>3.5</v>
      </c>
      <c r="E19" s="33">
        <v>3.1</v>
      </c>
      <c r="F19" s="33">
        <v>3.1</v>
      </c>
      <c r="G19" s="34">
        <v>13.8</v>
      </c>
    </row>
  </sheetData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01_상권요약</vt:lpstr>
      <vt:lpstr>02_가게수</vt:lpstr>
      <vt:lpstr>03_인구수</vt:lpstr>
      <vt:lpstr>04_가게생존율</vt:lpstr>
      <vt:lpstr>05_개업가게수</vt:lpstr>
      <vt:lpstr>06_폐업가게수</vt:lpstr>
      <vt:lpstr>연령대별 소비 스타일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 Ko</cp:lastModifiedBy>
  <dcterms:created xsi:type="dcterms:W3CDTF">2026-08-24T04:11:35Z</dcterms:created>
  <dcterms:modified xsi:type="dcterms:W3CDTF">2026-08-24T07:39:29Z</dcterms:modified>
</cp:coreProperties>
</file>